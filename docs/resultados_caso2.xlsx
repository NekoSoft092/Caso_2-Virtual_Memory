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7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8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9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0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y-002\University\TIC\Caso_2-Virtual_Memory\docs\"/>
    </mc:Choice>
  </mc:AlternateContent>
  <xr:revisionPtr revIDLastSave="0" documentId="8_{748692F8-FB52-49AE-8D63-8BB869146BB8}" xr6:coauthVersionLast="47" xr6:coauthVersionMax="47" xr10:uidLastSave="{00000000-0000-0000-0000-000000000000}"/>
  <bookViews>
    <workbookView xWindow="-108" yWindow="-108" windowWidth="23256" windowHeight="12456" xr2:uid="{133331FE-6ECF-4722-9DE2-3475BDFB0B4E}"/>
  </bookViews>
  <sheets>
    <sheet name="Datos" sheetId="1" r:id="rId1"/>
    <sheet name="8_64" sheetId="2" r:id="rId2"/>
    <sheet name="8_256" sheetId="3" r:id="rId3"/>
    <sheet name="8_1024" sheetId="4" r:id="rId4"/>
    <sheet name="16_64" sheetId="5" r:id="rId5"/>
    <sheet name="16_256" sheetId="6" r:id="rId6"/>
    <sheet name="16_1024" sheetId="7" r:id="rId7"/>
    <sheet name="128_64" sheetId="8" r:id="rId8"/>
    <sheet name="128_256" sheetId="9" r:id="rId9"/>
    <sheet name="128_1024" sheetId="10" r:id="rId10"/>
  </sheets>
  <calcPr calcId="0" concurrentCalc="0" concurrentManualCount="4"/>
</workbook>
</file>

<file path=xl/calcChain.xml><?xml version="1.0" encoding="utf-8"?>
<calcChain xmlns="http://schemas.openxmlformats.org/spreadsheetml/2006/main">
  <c r="O21" i="1" l="1"/>
  <c r="P21" i="1"/>
  <c r="Q21" i="1"/>
  <c r="O22" i="1"/>
  <c r="P22" i="1"/>
  <c r="Q22" i="1"/>
  <c r="P20" i="1"/>
  <c r="Q20" i="1"/>
  <c r="O20" i="1"/>
  <c r="O28" i="1"/>
  <c r="P28" i="1"/>
  <c r="Q28" i="1"/>
  <c r="O29" i="1"/>
  <c r="P29" i="1"/>
  <c r="Q29" i="1"/>
  <c r="P27" i="1"/>
  <c r="Q27" i="1"/>
  <c r="O27" i="1"/>
  <c r="O14" i="1"/>
  <c r="P14" i="1"/>
  <c r="Q14" i="1"/>
  <c r="O15" i="1"/>
  <c r="P15" i="1"/>
  <c r="Q15" i="1"/>
  <c r="P13" i="1"/>
  <c r="Q13" i="1"/>
  <c r="O13" i="1"/>
  <c r="D5" i="10"/>
  <c r="C5" i="10"/>
  <c r="B5" i="10"/>
  <c r="D4" i="10"/>
  <c r="C4" i="10"/>
  <c r="B4" i="10"/>
  <c r="D3" i="10"/>
  <c r="C3" i="10"/>
  <c r="B3" i="10"/>
  <c r="D5" i="9"/>
  <c r="C5" i="9"/>
  <c r="B5" i="9"/>
  <c r="D4" i="9"/>
  <c r="C4" i="9"/>
  <c r="B4" i="9"/>
  <c r="D3" i="9"/>
  <c r="C3" i="9"/>
  <c r="B3" i="9"/>
  <c r="D5" i="8"/>
  <c r="C5" i="8"/>
  <c r="B5" i="8"/>
  <c r="D4" i="8"/>
  <c r="C4" i="8"/>
  <c r="B4" i="8"/>
  <c r="D3" i="8"/>
  <c r="C3" i="8"/>
  <c r="B3" i="8"/>
  <c r="D5" i="7"/>
  <c r="C5" i="7"/>
  <c r="B5" i="7"/>
  <c r="D4" i="7"/>
  <c r="C4" i="7"/>
  <c r="B4" i="7"/>
  <c r="D3" i="7"/>
  <c r="C3" i="7"/>
  <c r="B3" i="7"/>
  <c r="D5" i="6"/>
  <c r="C5" i="6"/>
  <c r="B5" i="6"/>
  <c r="D4" i="6"/>
  <c r="C4" i="6"/>
  <c r="B4" i="6"/>
  <c r="D3" i="6"/>
  <c r="C3" i="6"/>
  <c r="B3" i="6"/>
  <c r="D5" i="5"/>
  <c r="C5" i="5"/>
  <c r="B5" i="5"/>
  <c r="D4" i="5"/>
  <c r="C4" i="5"/>
  <c r="B4" i="5"/>
  <c r="D3" i="5"/>
  <c r="C3" i="5"/>
  <c r="B3" i="5"/>
  <c r="D5" i="4"/>
  <c r="C5" i="4"/>
  <c r="B5" i="4"/>
  <c r="D4" i="4"/>
  <c r="C4" i="4"/>
  <c r="B4" i="4"/>
  <c r="D3" i="4"/>
  <c r="C3" i="4"/>
  <c r="B3" i="4"/>
  <c r="D5" i="3"/>
  <c r="C5" i="3"/>
  <c r="B5" i="3"/>
  <c r="D4" i="3"/>
  <c r="C4" i="3"/>
  <c r="B4" i="3"/>
  <c r="D3" i="3"/>
  <c r="C3" i="3"/>
  <c r="B3" i="3"/>
  <c r="C4" i="2"/>
  <c r="C5" i="2"/>
  <c r="D4" i="2"/>
  <c r="D5" i="2"/>
  <c r="B4" i="2"/>
  <c r="B5" i="2"/>
  <c r="C3" i="2"/>
  <c r="D3" i="2"/>
  <c r="B3" i="2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2" i="1"/>
</calcChain>
</file>

<file path=xl/sharedStrings.xml><?xml version="1.0" encoding="utf-8"?>
<sst xmlns="http://schemas.openxmlformats.org/spreadsheetml/2006/main" count="316" uniqueCount="45">
  <si>
    <t>archivo</t>
  </si>
  <si>
    <t>marcos</t>
  </si>
  <si>
    <t>politica</t>
  </si>
  <si>
    <t>resultado</t>
  </si>
  <si>
    <t>ref_128_1024</t>
  </si>
  <si>
    <t>FIFO</t>
  </si>
  <si>
    <t>********Proceso 1 Total accesos 100884 Total fallos 2580</t>
  </si>
  <si>
    <t>FIFOModified</t>
  </si>
  <si>
    <t>********Proceso 1 Total accesos 100369 Total fallos 2065</t>
  </si>
  <si>
    <t>LRU</t>
  </si>
  <si>
    <t>********Proceso 1 Total accesos 100626 Total fallos 2322</t>
  </si>
  <si>
    <t>********Proceso 1 Total accesos 100497 Total fallos 2193</t>
  </si>
  <si>
    <t>ref_128_256</t>
  </si>
  <si>
    <t>********Proceso 1 Total accesos 108624 Total fallos 10320</t>
  </si>
  <si>
    <t>********Proceso 1 Total accesos 106561 Total fallos 8257</t>
  </si>
  <si>
    <t>********Proceso 1 Total accesos 107592 Total fallos 9288</t>
  </si>
  <si>
    <t>********Proceso 1 Total accesos 107076 Total fallos 8772</t>
  </si>
  <si>
    <t>ref_128_64</t>
  </si>
  <si>
    <t>********Proceso 1 Total accesos 119168 Total fallos 20864</t>
  </si>
  <si>
    <t>********Proceso 1 Total accesos 115456 Total fallos 17152</t>
  </si>
  <si>
    <t>********Proceso 1 Total accesos 117056 Total fallos 18752</t>
  </si>
  <si>
    <t>********Proceso 1 Total accesos 115201 Total fallos 16897</t>
  </si>
  <si>
    <t>********Proceso 1 Total accesos 116000 Total fallos 17696</t>
  </si>
  <si>
    <t>ref_16_1024</t>
  </si>
  <si>
    <t>********Proceso 1 Total accesos 1537 Total fallos 1</t>
  </si>
  <si>
    <t>ref_16_256</t>
  </si>
  <si>
    <t>********Proceso 1 Total accesos 1538 Total fallos 2</t>
  </si>
  <si>
    <t>ref_16_64</t>
  </si>
  <si>
    <t>********Proceso 1 Total accesos 1621 Total fallos 85</t>
  </si>
  <si>
    <t>********Proceso 1 Total accesos 1605 Total fallos 69</t>
  </si>
  <si>
    <t>********Proceso 1 Total accesos 1541 Total fallos 5</t>
  </si>
  <si>
    <t>ref_8_1024</t>
  </si>
  <si>
    <t>********Proceso 1 Total accesos 385 Total fallos 1</t>
  </si>
  <si>
    <t>ref_8_256</t>
  </si>
  <si>
    <t>ref_8_64</t>
  </si>
  <si>
    <t>********Proceso 1 Total accesos 386 Total fallos 2</t>
  </si>
  <si>
    <t>Matriz</t>
  </si>
  <si>
    <t>TP</t>
  </si>
  <si>
    <t>NR</t>
  </si>
  <si>
    <t>Fallas</t>
  </si>
  <si>
    <t>Exitosos</t>
  </si>
  <si>
    <t>Tasa fallas</t>
  </si>
  <si>
    <t>Tiempo (s)</t>
  </si>
  <si>
    <t>Supuestos: NR es 6·NF·NC·pasadas. Como la matriz es cuadrada y se hizo 1 pasada, queda 6·Matriz²     Supuesto 2: El tiempo cuenta cada acierto a 100 ns y cada falla a 8 ms.</t>
  </si>
  <si>
    <t>Grafica de Tiempos vs Marcos: Caso especifico 128 debido a que es donde mas se ve esta diferencia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</si>
</sst>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4"/>
      <color rgb="FF595959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9" fontId="0" fillId="0" borderId="0" xfId="1" applyFont="1"/>
    <xf numFmtId="0" fontId="0" fillId="33" borderId="0" xfId="0" applyFill="1" applyAlignment="1">
      <alignment horizontal="center" vertical="top" wrapText="1"/>
    </xf>
    <xf numFmtId="0" fontId="18" fillId="0" borderId="0" xfId="0" applyFont="1" applyAlignment="1">
      <alignment horizontal="center" vertical="center" readingOrder="1"/>
    </xf>
    <xf numFmtId="0" fontId="0" fillId="0" borderId="0" xfId="0" applyAlignment="1">
      <alignment vertical="center" wrapText="1"/>
    </xf>
    <xf numFmtId="0" fontId="16" fillId="0" borderId="0" xfId="0" applyFont="1" applyAlignment="1">
      <alignment vertical="center" wrapText="1"/>
    </xf>
    <xf numFmtId="0" fontId="19" fillId="0" borderId="0" xfId="0" applyFont="1" applyAlignment="1">
      <alignment vertical="center" wrapText="1"/>
    </xf>
  </cellXfs>
  <cellStyles count="4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Neutral" xfId="9" builtinId="28" customBuiltin="1"/>
    <cellStyle name="Normal" xfId="0" builtinId="0"/>
    <cellStyle name="Notas" xfId="16" builtinId="10" customBuiltin="1"/>
    <cellStyle name="Porcentaje" xfId="1" builtinId="5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baseline="0"/>
              <a:t>Tiempo de ejecución vs marcos: 128x64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Datos!$N$13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Datos!$O$12:$Q$12</c:f>
              <c:strCache>
                <c:ptCount val="3"/>
                <c:pt idx="0">
                  <c:v>FIFO</c:v>
                </c:pt>
                <c:pt idx="1">
                  <c:v>FIFOModified</c:v>
                </c:pt>
                <c:pt idx="2">
                  <c:v>LRU</c:v>
                </c:pt>
              </c:strCache>
            </c:strRef>
          </c:cat>
          <c:val>
            <c:numRef>
              <c:f>Datos!$O$13:$Q$13</c:f>
              <c:numCache>
                <c:formatCode>General</c:formatCode>
                <c:ptCount val="3"/>
                <c:pt idx="0">
                  <c:v>166.91974400000001</c:v>
                </c:pt>
                <c:pt idx="1">
                  <c:v>137.2241152</c:v>
                </c:pt>
                <c:pt idx="2">
                  <c:v>137.2241152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9F-4F11-ACCF-90905141E7E4}"/>
            </c:ext>
          </c:extLst>
        </c:ser>
        <c:ser>
          <c:idx val="1"/>
          <c:order val="1"/>
          <c:tx>
            <c:strRef>
              <c:f>Datos!$N$14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Datos!$O$12:$Q$12</c:f>
              <c:strCache>
                <c:ptCount val="3"/>
                <c:pt idx="0">
                  <c:v>FIFO</c:v>
                </c:pt>
                <c:pt idx="1">
                  <c:v>FIFOModified</c:v>
                </c:pt>
                <c:pt idx="2">
                  <c:v>LRU</c:v>
                </c:pt>
              </c:strCache>
            </c:strRef>
          </c:cat>
          <c:val>
            <c:numRef>
              <c:f>Datos!$O$14:$Q$14</c:f>
              <c:numCache>
                <c:formatCode>General</c:formatCode>
                <c:ptCount val="3"/>
                <c:pt idx="0">
                  <c:v>150.02395519999999</c:v>
                </c:pt>
                <c:pt idx="1">
                  <c:v>135.18414070000003</c:v>
                </c:pt>
                <c:pt idx="2">
                  <c:v>135.18414070000003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9F-4F11-ACCF-90905141E7E4}"/>
            </c:ext>
          </c:extLst>
        </c:ser>
        <c:ser>
          <c:idx val="2"/>
          <c:order val="2"/>
          <c:tx>
            <c:strRef>
              <c:f>Datos!$N$15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Datos!$O$12:$Q$12</c:f>
              <c:strCache>
                <c:ptCount val="3"/>
                <c:pt idx="0">
                  <c:v>FIFO</c:v>
                </c:pt>
                <c:pt idx="1">
                  <c:v>FIFOModified</c:v>
                </c:pt>
                <c:pt idx="2">
                  <c:v>LRU</c:v>
                </c:pt>
              </c:strCache>
            </c:strRef>
          </c:cat>
          <c:val>
            <c:numRef>
              <c:f>Datos!$O$15:$Q$15</c:f>
              <c:numCache>
                <c:formatCode>General</c:formatCode>
                <c:ptCount val="3"/>
                <c:pt idx="0">
                  <c:v>141.57606080000002</c:v>
                </c:pt>
                <c:pt idx="1">
                  <c:v>135.18414070000003</c:v>
                </c:pt>
                <c:pt idx="2">
                  <c:v>135.18414070000003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D9F-4F11-ACCF-90905141E7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4252624"/>
        <c:axId val="2092332048"/>
      </c:barChart>
      <c:catAx>
        <c:axId val="784252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92332048"/>
        <c:crosses val="autoZero"/>
        <c:auto val="1"/>
        <c:lblAlgn val="ctr"/>
        <c:lblOffset val="100"/>
        <c:noMultiLvlLbl val="0"/>
      </c:catAx>
      <c:valAx>
        <c:axId val="209233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84252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baseline="0"/>
              <a:t>Tiempo de ejecución vs marcos: 128x256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Datos!$N$20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Datos!$O$19:$Q$19</c:f>
              <c:strCache>
                <c:ptCount val="3"/>
                <c:pt idx="0">
                  <c:v>FIFO</c:v>
                </c:pt>
                <c:pt idx="1">
                  <c:v>FIFOModified</c:v>
                </c:pt>
                <c:pt idx="2">
                  <c:v>LRU</c:v>
                </c:pt>
              </c:strCache>
            </c:strRef>
          </c:cat>
          <c:val>
            <c:numRef>
              <c:f>Datos!$O$20:$Q$20</c:f>
              <c:numCache>
                <c:formatCode>General</c:formatCode>
                <c:ptCount val="3"/>
                <c:pt idx="0">
                  <c:v>82.568798400000006</c:v>
                </c:pt>
                <c:pt idx="1">
                  <c:v>66.065004700000003</c:v>
                </c:pt>
                <c:pt idx="2">
                  <c:v>66.065004700000003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37-4D9A-9EBD-C41FF70671F1}"/>
            </c:ext>
          </c:extLst>
        </c:ser>
        <c:ser>
          <c:idx val="1"/>
          <c:order val="1"/>
          <c:tx>
            <c:strRef>
              <c:f>Datos!$N$21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Datos!$O$19:$Q$19</c:f>
              <c:strCache>
                <c:ptCount val="3"/>
                <c:pt idx="0">
                  <c:v>FIFO</c:v>
                </c:pt>
                <c:pt idx="1">
                  <c:v>FIFOModified</c:v>
                </c:pt>
                <c:pt idx="2">
                  <c:v>LRU</c:v>
                </c:pt>
              </c:strCache>
            </c:strRef>
          </c:cat>
          <c:val>
            <c:numRef>
              <c:f>Datos!$O$21:$Q$21</c:f>
              <c:numCache>
                <c:formatCode>General</c:formatCode>
                <c:ptCount val="3"/>
                <c:pt idx="0">
                  <c:v>74.312901600000004</c:v>
                </c:pt>
                <c:pt idx="1">
                  <c:v>66.065004700000003</c:v>
                </c:pt>
                <c:pt idx="2">
                  <c:v>66.065004700000003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37-4D9A-9EBD-C41FF70671F1}"/>
            </c:ext>
          </c:extLst>
        </c:ser>
        <c:ser>
          <c:idx val="2"/>
          <c:order val="2"/>
          <c:tx>
            <c:strRef>
              <c:f>Datos!$N$22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Datos!$O$19:$Q$19</c:f>
              <c:strCache>
                <c:ptCount val="3"/>
                <c:pt idx="0">
                  <c:v>FIFO</c:v>
                </c:pt>
                <c:pt idx="1">
                  <c:v>FIFOModified</c:v>
                </c:pt>
                <c:pt idx="2">
                  <c:v>LRU</c:v>
                </c:pt>
              </c:strCache>
            </c:strRef>
          </c:cat>
          <c:val>
            <c:numRef>
              <c:f>Datos!$O$22:$Q$22</c:f>
              <c:numCache>
                <c:formatCode>General</c:formatCode>
                <c:ptCount val="3"/>
                <c:pt idx="0">
                  <c:v>70.184953199999995</c:v>
                </c:pt>
                <c:pt idx="1">
                  <c:v>66.065004700000003</c:v>
                </c:pt>
                <c:pt idx="2">
                  <c:v>66.065004700000003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337-4D9A-9EBD-C41FF70671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3267520"/>
        <c:axId val="2092389168"/>
      </c:barChart>
      <c:catAx>
        <c:axId val="773267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92389168"/>
        <c:crosses val="autoZero"/>
        <c:auto val="1"/>
        <c:lblAlgn val="ctr"/>
        <c:lblOffset val="100"/>
        <c:noMultiLvlLbl val="0"/>
      </c:catAx>
      <c:valAx>
        <c:axId val="2092389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73267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baseline="0"/>
              <a:t>Tiempo de ejecución vs marcos: 128x1024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Datos!$N$27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Datos!$O$26:$Q$26</c:f>
              <c:strCache>
                <c:ptCount val="3"/>
                <c:pt idx="0">
                  <c:v>FIFO</c:v>
                </c:pt>
                <c:pt idx="1">
                  <c:v>FIFOModified</c:v>
                </c:pt>
                <c:pt idx="2">
                  <c:v>LRU</c:v>
                </c:pt>
              </c:strCache>
            </c:strRef>
          </c:cat>
          <c:val>
            <c:numRef>
              <c:f>Datos!$O$27:$Q$27</c:f>
              <c:numCache>
                <c:formatCode>General</c:formatCode>
                <c:ptCount val="3"/>
                <c:pt idx="0">
                  <c:v>20.6495724</c:v>
                </c:pt>
                <c:pt idx="1">
                  <c:v>16.529623900000001</c:v>
                </c:pt>
                <c:pt idx="2">
                  <c:v>16.529623900000001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AF-4F50-A214-F75DC80E841A}"/>
            </c:ext>
          </c:extLst>
        </c:ser>
        <c:ser>
          <c:idx val="1"/>
          <c:order val="1"/>
          <c:tx>
            <c:strRef>
              <c:f>Datos!$N$28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Datos!$O$26:$Q$26</c:f>
              <c:strCache>
                <c:ptCount val="3"/>
                <c:pt idx="0">
                  <c:v>FIFO</c:v>
                </c:pt>
                <c:pt idx="1">
                  <c:v>FIFOModified</c:v>
                </c:pt>
                <c:pt idx="2">
                  <c:v>LRU</c:v>
                </c:pt>
              </c:strCache>
            </c:strRef>
          </c:cat>
          <c:val>
            <c:numRef>
              <c:f>Datos!$O$28:$Q$28</c:f>
              <c:numCache>
                <c:formatCode>General</c:formatCode>
                <c:ptCount val="3"/>
                <c:pt idx="0">
                  <c:v>18.5855982</c:v>
                </c:pt>
                <c:pt idx="1">
                  <c:v>16.529623900000001</c:v>
                </c:pt>
                <c:pt idx="2">
                  <c:v>16.529623900000001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AF-4F50-A214-F75DC80E841A}"/>
            </c:ext>
          </c:extLst>
        </c:ser>
        <c:ser>
          <c:idx val="2"/>
          <c:order val="2"/>
          <c:tx>
            <c:strRef>
              <c:f>Datos!$N$29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Datos!$O$26:$Q$26</c:f>
              <c:strCache>
                <c:ptCount val="3"/>
                <c:pt idx="0">
                  <c:v>FIFO</c:v>
                </c:pt>
                <c:pt idx="1">
                  <c:v>FIFOModified</c:v>
                </c:pt>
                <c:pt idx="2">
                  <c:v>LRU</c:v>
                </c:pt>
              </c:strCache>
            </c:strRef>
          </c:cat>
          <c:val>
            <c:numRef>
              <c:f>Datos!$O$29:$Q$29</c:f>
              <c:numCache>
                <c:formatCode>General</c:formatCode>
                <c:ptCount val="3"/>
                <c:pt idx="0">
                  <c:v>17.553611100000001</c:v>
                </c:pt>
                <c:pt idx="1">
                  <c:v>16.529623900000001</c:v>
                </c:pt>
                <c:pt idx="2">
                  <c:v>16.529623900000001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6AF-4F50-A214-F75DC80E84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3211840"/>
        <c:axId val="2092437648"/>
      </c:barChart>
      <c:catAx>
        <c:axId val="773211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92437648"/>
        <c:crosses val="autoZero"/>
        <c:auto val="1"/>
        <c:lblAlgn val="ctr"/>
        <c:lblOffset val="100"/>
        <c:noMultiLvlLbl val="0"/>
      </c:catAx>
      <c:valAx>
        <c:axId val="2092437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73211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baseline="0"/>
              <a:t>Fallas de página:</a:t>
            </a:r>
            <a:r>
              <a:rPr lang="es-CO" baseline="0"/>
              <a:t> 8x64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'8_64'!$A$3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'8_64'!$B$2:$D$2</c:f>
              <c:strCache>
                <c:ptCount val="3"/>
                <c:pt idx="0">
                  <c:v>FIFO</c:v>
                </c:pt>
                <c:pt idx="1">
                  <c:v>FIFOModified</c:v>
                </c:pt>
                <c:pt idx="2">
                  <c:v>LRU</c:v>
                </c:pt>
              </c:strCache>
            </c:strRef>
          </c:cat>
          <c:val>
            <c:numRef>
              <c:f>'8_64'!$B$3:$D$3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04-4B7C-9358-F63E64BCD48E}"/>
            </c:ext>
          </c:extLst>
        </c:ser>
        <c:ser>
          <c:idx val="1"/>
          <c:order val="1"/>
          <c:tx>
            <c:strRef>
              <c:f>'8_64'!$A$4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'8_64'!$B$2:$D$2</c:f>
              <c:strCache>
                <c:ptCount val="3"/>
                <c:pt idx="0">
                  <c:v>FIFO</c:v>
                </c:pt>
                <c:pt idx="1">
                  <c:v>FIFOModified</c:v>
                </c:pt>
                <c:pt idx="2">
                  <c:v>LRU</c:v>
                </c:pt>
              </c:strCache>
            </c:strRef>
          </c:cat>
          <c:val>
            <c:numRef>
              <c:f>'8_64'!$B$4:$D$4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04-4B7C-9358-F63E64BCD48E}"/>
            </c:ext>
          </c:extLst>
        </c:ser>
        <c:ser>
          <c:idx val="2"/>
          <c:order val="2"/>
          <c:tx>
            <c:strRef>
              <c:f>'8_64'!$A$5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'8_64'!$B$2:$D$2</c:f>
              <c:strCache>
                <c:ptCount val="3"/>
                <c:pt idx="0">
                  <c:v>FIFO</c:v>
                </c:pt>
                <c:pt idx="1">
                  <c:v>FIFOModified</c:v>
                </c:pt>
                <c:pt idx="2">
                  <c:v>LRU</c:v>
                </c:pt>
              </c:strCache>
            </c:strRef>
          </c:cat>
          <c:val>
            <c:numRef>
              <c:f>'8_64'!$B$5:$D$5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904-4B7C-9358-F63E64BCD4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3080336"/>
        <c:axId val="2025972912"/>
      </c:barChart>
      <c:catAx>
        <c:axId val="693080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25972912"/>
        <c:crosses val="autoZero"/>
        <c:auto val="1"/>
        <c:lblAlgn val="ctr"/>
        <c:lblOffset val="100"/>
        <c:noMultiLvlLbl val="0"/>
      </c:catAx>
      <c:valAx>
        <c:axId val="202597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93080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Fallas de página: 8x256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'8_256'!$A$3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'8_256'!$B$2:$D$2</c:f>
              <c:strCache>
                <c:ptCount val="3"/>
                <c:pt idx="0">
                  <c:v>FIFO</c:v>
                </c:pt>
                <c:pt idx="1">
                  <c:v>FIFOModified</c:v>
                </c:pt>
                <c:pt idx="2">
                  <c:v>LRU</c:v>
                </c:pt>
              </c:strCache>
            </c:strRef>
          </c:cat>
          <c:val>
            <c:numRef>
              <c:f>'8_256'!$B$3:$D$3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D9-4BB5-B1C2-1E69110DF1AC}"/>
            </c:ext>
          </c:extLst>
        </c:ser>
        <c:ser>
          <c:idx val="1"/>
          <c:order val="1"/>
          <c:tx>
            <c:strRef>
              <c:f>'8_256'!$A$4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'8_256'!$B$2:$D$2</c:f>
              <c:strCache>
                <c:ptCount val="3"/>
                <c:pt idx="0">
                  <c:v>FIFO</c:v>
                </c:pt>
                <c:pt idx="1">
                  <c:v>FIFOModified</c:v>
                </c:pt>
                <c:pt idx="2">
                  <c:v>LRU</c:v>
                </c:pt>
              </c:strCache>
            </c:strRef>
          </c:cat>
          <c:val>
            <c:numRef>
              <c:f>'8_256'!$B$4:$D$4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D9-4BB5-B1C2-1E69110DF1AC}"/>
            </c:ext>
          </c:extLst>
        </c:ser>
        <c:ser>
          <c:idx val="2"/>
          <c:order val="2"/>
          <c:tx>
            <c:strRef>
              <c:f>'8_256'!$A$5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'8_256'!$B$2:$D$2</c:f>
              <c:strCache>
                <c:ptCount val="3"/>
                <c:pt idx="0">
                  <c:v>FIFO</c:v>
                </c:pt>
                <c:pt idx="1">
                  <c:v>FIFOModified</c:v>
                </c:pt>
                <c:pt idx="2">
                  <c:v>LRU</c:v>
                </c:pt>
              </c:strCache>
            </c:strRef>
          </c:cat>
          <c:val>
            <c:numRef>
              <c:f>'8_256'!$B$5:$D$5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DD9-4BB5-B1C2-1E69110DF1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3119456"/>
        <c:axId val="1801755568"/>
      </c:barChart>
      <c:catAx>
        <c:axId val="803119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01755568"/>
        <c:crosses val="autoZero"/>
        <c:auto val="1"/>
        <c:lblAlgn val="ctr"/>
        <c:lblOffset val="100"/>
        <c:noMultiLvlLbl val="0"/>
      </c:catAx>
      <c:valAx>
        <c:axId val="1801755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03119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Fallas de página: 8x1024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'8_1024'!$A$3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'8_1024'!$B$2:$D$2</c:f>
              <c:strCache>
                <c:ptCount val="3"/>
                <c:pt idx="0">
                  <c:v>FIFO</c:v>
                </c:pt>
                <c:pt idx="1">
                  <c:v>FIFOModified</c:v>
                </c:pt>
                <c:pt idx="2">
                  <c:v>LRU</c:v>
                </c:pt>
              </c:strCache>
            </c:strRef>
          </c:cat>
          <c:val>
            <c:numRef>
              <c:f>'8_1024'!$B$3:$D$3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9A-4261-86B0-5878B61DE685}"/>
            </c:ext>
          </c:extLst>
        </c:ser>
        <c:ser>
          <c:idx val="1"/>
          <c:order val="1"/>
          <c:tx>
            <c:strRef>
              <c:f>'8_1024'!$A$4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'8_1024'!$B$2:$D$2</c:f>
              <c:strCache>
                <c:ptCount val="3"/>
                <c:pt idx="0">
                  <c:v>FIFO</c:v>
                </c:pt>
                <c:pt idx="1">
                  <c:v>FIFOModified</c:v>
                </c:pt>
                <c:pt idx="2">
                  <c:v>LRU</c:v>
                </c:pt>
              </c:strCache>
            </c:strRef>
          </c:cat>
          <c:val>
            <c:numRef>
              <c:f>'8_1024'!$B$4:$D$4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9A-4261-86B0-5878B61DE685}"/>
            </c:ext>
          </c:extLst>
        </c:ser>
        <c:ser>
          <c:idx val="2"/>
          <c:order val="2"/>
          <c:tx>
            <c:strRef>
              <c:f>'8_1024'!$A$5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'8_1024'!$B$2:$D$2</c:f>
              <c:strCache>
                <c:ptCount val="3"/>
                <c:pt idx="0">
                  <c:v>FIFO</c:v>
                </c:pt>
                <c:pt idx="1">
                  <c:v>FIFOModified</c:v>
                </c:pt>
                <c:pt idx="2">
                  <c:v>LRU</c:v>
                </c:pt>
              </c:strCache>
            </c:strRef>
          </c:cat>
          <c:val>
            <c:numRef>
              <c:f>'8_1024'!$B$5:$D$5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B9A-4261-86B0-5878B61DE6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4615152"/>
        <c:axId val="1801759888"/>
      </c:barChart>
      <c:catAx>
        <c:axId val="804615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01759888"/>
        <c:crosses val="autoZero"/>
        <c:auto val="1"/>
        <c:lblAlgn val="ctr"/>
        <c:lblOffset val="100"/>
        <c:noMultiLvlLbl val="0"/>
      </c:catAx>
      <c:valAx>
        <c:axId val="1801759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04615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Fallas de página: 16x64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'16_64'!$A$3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'16_64'!$B$2:$D$2</c:f>
              <c:strCache>
                <c:ptCount val="3"/>
                <c:pt idx="0">
                  <c:v>FIFO</c:v>
                </c:pt>
                <c:pt idx="1">
                  <c:v>FIFOModified</c:v>
                </c:pt>
                <c:pt idx="2">
                  <c:v>LRU</c:v>
                </c:pt>
              </c:strCache>
            </c:strRef>
          </c:cat>
          <c:val>
            <c:numRef>
              <c:f>'16_64'!$B$3:$D$3</c:f>
              <c:numCache>
                <c:formatCode>General</c:formatCode>
                <c:ptCount val="3"/>
                <c:pt idx="0">
                  <c:v>85</c:v>
                </c:pt>
                <c:pt idx="1">
                  <c:v>69</c:v>
                </c:pt>
                <c:pt idx="2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D2-4629-9F2C-D5E66FAC7160}"/>
            </c:ext>
          </c:extLst>
        </c:ser>
        <c:ser>
          <c:idx val="1"/>
          <c:order val="1"/>
          <c:tx>
            <c:strRef>
              <c:f>'16_64'!$A$4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'16_64'!$B$2:$D$2</c:f>
              <c:strCache>
                <c:ptCount val="3"/>
                <c:pt idx="0">
                  <c:v>FIFO</c:v>
                </c:pt>
                <c:pt idx="1">
                  <c:v>FIFOModified</c:v>
                </c:pt>
                <c:pt idx="2">
                  <c:v>LRU</c:v>
                </c:pt>
              </c:strCache>
            </c:strRef>
          </c:cat>
          <c:val>
            <c:numRef>
              <c:f>'16_64'!$B$4:$D$4</c:f>
              <c:numCache>
                <c:formatCode>General</c:formatCode>
                <c:ptCount val="3"/>
                <c:pt idx="0">
                  <c:v>5</c:v>
                </c:pt>
                <c:pt idx="1">
                  <c:v>5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D2-4629-9F2C-D5E66FAC7160}"/>
            </c:ext>
          </c:extLst>
        </c:ser>
        <c:ser>
          <c:idx val="2"/>
          <c:order val="2"/>
          <c:tx>
            <c:strRef>
              <c:f>'16_64'!$A$5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'16_64'!$B$2:$D$2</c:f>
              <c:strCache>
                <c:ptCount val="3"/>
                <c:pt idx="0">
                  <c:v>FIFO</c:v>
                </c:pt>
                <c:pt idx="1">
                  <c:v>FIFOModified</c:v>
                </c:pt>
                <c:pt idx="2">
                  <c:v>LRU</c:v>
                </c:pt>
              </c:strCache>
            </c:strRef>
          </c:cat>
          <c:val>
            <c:numRef>
              <c:f>'16_64'!$B$5:$D$5</c:f>
              <c:numCache>
                <c:formatCode>General</c:formatCode>
                <c:ptCount val="3"/>
                <c:pt idx="0">
                  <c:v>5</c:v>
                </c:pt>
                <c:pt idx="1">
                  <c:v>5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BD2-4629-9F2C-D5E66FAC71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2032608"/>
        <c:axId val="2025941232"/>
      </c:barChart>
      <c:catAx>
        <c:axId val="692032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25941232"/>
        <c:crosses val="autoZero"/>
        <c:auto val="1"/>
        <c:lblAlgn val="ctr"/>
        <c:lblOffset val="100"/>
        <c:noMultiLvlLbl val="0"/>
      </c:catAx>
      <c:valAx>
        <c:axId val="2025941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92032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Fallas de página: 16x256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'16_256'!$A$3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'16_256'!$B$2:$D$2</c:f>
              <c:strCache>
                <c:ptCount val="3"/>
                <c:pt idx="0">
                  <c:v>FIFO</c:v>
                </c:pt>
                <c:pt idx="1">
                  <c:v>FIFOModified</c:v>
                </c:pt>
                <c:pt idx="2">
                  <c:v>LRU</c:v>
                </c:pt>
              </c:strCache>
            </c:strRef>
          </c:cat>
          <c:val>
            <c:numRef>
              <c:f>'16_256'!$B$3:$D$3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FF-48CF-8031-29A0261EA6E5}"/>
            </c:ext>
          </c:extLst>
        </c:ser>
        <c:ser>
          <c:idx val="1"/>
          <c:order val="1"/>
          <c:tx>
            <c:strRef>
              <c:f>'16_256'!$A$4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'16_256'!$B$2:$D$2</c:f>
              <c:strCache>
                <c:ptCount val="3"/>
                <c:pt idx="0">
                  <c:v>FIFO</c:v>
                </c:pt>
                <c:pt idx="1">
                  <c:v>FIFOModified</c:v>
                </c:pt>
                <c:pt idx="2">
                  <c:v>LRU</c:v>
                </c:pt>
              </c:strCache>
            </c:strRef>
          </c:cat>
          <c:val>
            <c:numRef>
              <c:f>'16_256'!$B$4:$D$4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FF-48CF-8031-29A0261EA6E5}"/>
            </c:ext>
          </c:extLst>
        </c:ser>
        <c:ser>
          <c:idx val="2"/>
          <c:order val="2"/>
          <c:tx>
            <c:strRef>
              <c:f>'16_256'!$A$5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'16_256'!$B$2:$D$2</c:f>
              <c:strCache>
                <c:ptCount val="3"/>
                <c:pt idx="0">
                  <c:v>FIFO</c:v>
                </c:pt>
                <c:pt idx="1">
                  <c:v>FIFOModified</c:v>
                </c:pt>
                <c:pt idx="2">
                  <c:v>LRU</c:v>
                </c:pt>
              </c:strCache>
            </c:strRef>
          </c:cat>
          <c:val>
            <c:numRef>
              <c:f>'16_256'!$B$5:$D$5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FF-48CF-8031-29A0261EA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4625824"/>
        <c:axId val="2092505328"/>
      </c:barChart>
      <c:catAx>
        <c:axId val="804625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92505328"/>
        <c:crosses val="autoZero"/>
        <c:auto val="1"/>
        <c:lblAlgn val="ctr"/>
        <c:lblOffset val="100"/>
        <c:noMultiLvlLbl val="0"/>
      </c:catAx>
      <c:valAx>
        <c:axId val="2092505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04625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Fallas de página: 16x1024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'16_1024'!$A$3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'16_1024'!$B$2:$D$2</c:f>
              <c:strCache>
                <c:ptCount val="3"/>
                <c:pt idx="0">
                  <c:v>FIFO</c:v>
                </c:pt>
                <c:pt idx="1">
                  <c:v>FIFOModified</c:v>
                </c:pt>
                <c:pt idx="2">
                  <c:v>LRU</c:v>
                </c:pt>
              </c:strCache>
            </c:strRef>
          </c:cat>
          <c:val>
            <c:numRef>
              <c:f>'16_1024'!$B$3:$D$3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DD-4442-AD07-35E887A95D6C}"/>
            </c:ext>
          </c:extLst>
        </c:ser>
        <c:ser>
          <c:idx val="1"/>
          <c:order val="1"/>
          <c:tx>
            <c:strRef>
              <c:f>'16_1024'!$A$4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'16_1024'!$B$2:$D$2</c:f>
              <c:strCache>
                <c:ptCount val="3"/>
                <c:pt idx="0">
                  <c:v>FIFO</c:v>
                </c:pt>
                <c:pt idx="1">
                  <c:v>FIFOModified</c:v>
                </c:pt>
                <c:pt idx="2">
                  <c:v>LRU</c:v>
                </c:pt>
              </c:strCache>
            </c:strRef>
          </c:cat>
          <c:val>
            <c:numRef>
              <c:f>'16_1024'!$B$4:$D$4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DD-4442-AD07-35E887A95D6C}"/>
            </c:ext>
          </c:extLst>
        </c:ser>
        <c:ser>
          <c:idx val="2"/>
          <c:order val="2"/>
          <c:tx>
            <c:strRef>
              <c:f>'16_1024'!$A$5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'16_1024'!$B$2:$D$2</c:f>
              <c:strCache>
                <c:ptCount val="3"/>
                <c:pt idx="0">
                  <c:v>FIFO</c:v>
                </c:pt>
                <c:pt idx="1">
                  <c:v>FIFOModified</c:v>
                </c:pt>
                <c:pt idx="2">
                  <c:v>LRU</c:v>
                </c:pt>
              </c:strCache>
            </c:strRef>
          </c:cat>
          <c:val>
            <c:numRef>
              <c:f>'16_1024'!$B$5:$D$5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6DD-4442-AD07-35E887A95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4813872"/>
        <c:axId val="2092488048"/>
      </c:barChart>
      <c:catAx>
        <c:axId val="2084813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92488048"/>
        <c:crosses val="autoZero"/>
        <c:auto val="1"/>
        <c:lblAlgn val="ctr"/>
        <c:lblOffset val="100"/>
        <c:noMultiLvlLbl val="0"/>
      </c:catAx>
      <c:valAx>
        <c:axId val="2092488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84813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Fallos</a:t>
            </a:r>
            <a:r>
              <a:rPr lang="es-CO" baseline="0"/>
              <a:t> de Página:128x64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'128_64'!$A$3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'128_64'!$B$2:$D$2</c:f>
              <c:strCache>
                <c:ptCount val="3"/>
                <c:pt idx="0">
                  <c:v>FIFO</c:v>
                </c:pt>
                <c:pt idx="1">
                  <c:v>FIFOModified</c:v>
                </c:pt>
                <c:pt idx="2">
                  <c:v>LRU</c:v>
                </c:pt>
              </c:strCache>
            </c:strRef>
          </c:cat>
          <c:val>
            <c:numRef>
              <c:f>'128_64'!$B$3:$D$3</c:f>
              <c:numCache>
                <c:formatCode>General</c:formatCode>
                <c:ptCount val="3"/>
                <c:pt idx="0">
                  <c:v>20864</c:v>
                </c:pt>
                <c:pt idx="1">
                  <c:v>17152</c:v>
                </c:pt>
                <c:pt idx="2">
                  <c:v>17152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25-42F5-8BE5-30CD87BFAC35}"/>
            </c:ext>
          </c:extLst>
        </c:ser>
        <c:ser>
          <c:idx val="1"/>
          <c:order val="1"/>
          <c:tx>
            <c:strRef>
              <c:f>'128_64'!$A$4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'128_64'!$B$2:$D$2</c:f>
              <c:strCache>
                <c:ptCount val="3"/>
                <c:pt idx="0">
                  <c:v>FIFO</c:v>
                </c:pt>
                <c:pt idx="1">
                  <c:v>FIFOModified</c:v>
                </c:pt>
                <c:pt idx="2">
                  <c:v>LRU</c:v>
                </c:pt>
              </c:strCache>
            </c:strRef>
          </c:cat>
          <c:val>
            <c:numRef>
              <c:f>'128_64'!$B$4:$D$4</c:f>
              <c:numCache>
                <c:formatCode>General</c:formatCode>
                <c:ptCount val="3"/>
                <c:pt idx="0">
                  <c:v>18752</c:v>
                </c:pt>
                <c:pt idx="1">
                  <c:v>16897</c:v>
                </c:pt>
                <c:pt idx="2">
                  <c:v>16897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25-42F5-8BE5-30CD87BFAC35}"/>
            </c:ext>
          </c:extLst>
        </c:ser>
        <c:ser>
          <c:idx val="2"/>
          <c:order val="2"/>
          <c:tx>
            <c:strRef>
              <c:f>'128_64'!$A$5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'128_64'!$B$2:$D$2</c:f>
              <c:strCache>
                <c:ptCount val="3"/>
                <c:pt idx="0">
                  <c:v>FIFO</c:v>
                </c:pt>
                <c:pt idx="1">
                  <c:v>FIFOModified</c:v>
                </c:pt>
                <c:pt idx="2">
                  <c:v>LRU</c:v>
                </c:pt>
              </c:strCache>
            </c:strRef>
          </c:cat>
          <c:val>
            <c:numRef>
              <c:f>'128_64'!$B$5:$D$5</c:f>
              <c:numCache>
                <c:formatCode>General</c:formatCode>
                <c:ptCount val="3"/>
                <c:pt idx="0">
                  <c:v>17696</c:v>
                </c:pt>
                <c:pt idx="1">
                  <c:v>16897</c:v>
                </c:pt>
                <c:pt idx="2">
                  <c:v>16897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125-42F5-8BE5-30CD87BFAC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5794816"/>
        <c:axId val="2092450608"/>
      </c:barChart>
      <c:catAx>
        <c:axId val="785794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92450608"/>
        <c:crosses val="autoZero"/>
        <c:auto val="1"/>
        <c:lblAlgn val="ctr"/>
        <c:lblOffset val="100"/>
        <c:noMultiLvlLbl val="0"/>
      </c:catAx>
      <c:valAx>
        <c:axId val="2092450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85794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Fallos de Página:128x256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'128_256'!$A$3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'128_256'!$B$2:$D$2</c:f>
              <c:strCache>
                <c:ptCount val="3"/>
                <c:pt idx="0">
                  <c:v>FIFO</c:v>
                </c:pt>
                <c:pt idx="1">
                  <c:v>FIFOModified</c:v>
                </c:pt>
                <c:pt idx="2">
                  <c:v>LRU</c:v>
                </c:pt>
              </c:strCache>
            </c:strRef>
          </c:cat>
          <c:val>
            <c:numRef>
              <c:f>'128_256'!$B$3:$D$3</c:f>
              <c:numCache>
                <c:formatCode>General</c:formatCode>
                <c:ptCount val="3"/>
                <c:pt idx="0">
                  <c:v>10320</c:v>
                </c:pt>
                <c:pt idx="1">
                  <c:v>8257</c:v>
                </c:pt>
                <c:pt idx="2">
                  <c:v>8257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6A-4C0C-911D-EF799A1D81FD}"/>
            </c:ext>
          </c:extLst>
        </c:ser>
        <c:ser>
          <c:idx val="1"/>
          <c:order val="1"/>
          <c:tx>
            <c:strRef>
              <c:f>'128_256'!$A$4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'128_256'!$B$2:$D$2</c:f>
              <c:strCache>
                <c:ptCount val="3"/>
                <c:pt idx="0">
                  <c:v>FIFO</c:v>
                </c:pt>
                <c:pt idx="1">
                  <c:v>FIFOModified</c:v>
                </c:pt>
                <c:pt idx="2">
                  <c:v>LRU</c:v>
                </c:pt>
              </c:strCache>
            </c:strRef>
          </c:cat>
          <c:val>
            <c:numRef>
              <c:f>'128_256'!$B$4:$D$4</c:f>
              <c:numCache>
                <c:formatCode>General</c:formatCode>
                <c:ptCount val="3"/>
                <c:pt idx="0">
                  <c:v>9288</c:v>
                </c:pt>
                <c:pt idx="1">
                  <c:v>8257</c:v>
                </c:pt>
                <c:pt idx="2">
                  <c:v>8257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6A-4C0C-911D-EF799A1D81FD}"/>
            </c:ext>
          </c:extLst>
        </c:ser>
        <c:ser>
          <c:idx val="2"/>
          <c:order val="2"/>
          <c:tx>
            <c:strRef>
              <c:f>'128_256'!$A$5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'128_256'!$B$2:$D$2</c:f>
              <c:strCache>
                <c:ptCount val="3"/>
                <c:pt idx="0">
                  <c:v>FIFO</c:v>
                </c:pt>
                <c:pt idx="1">
                  <c:v>FIFOModified</c:v>
                </c:pt>
                <c:pt idx="2">
                  <c:v>LRU</c:v>
                </c:pt>
              </c:strCache>
            </c:strRef>
          </c:cat>
          <c:val>
            <c:numRef>
              <c:f>'128_256'!$B$5:$D$5</c:f>
              <c:numCache>
                <c:formatCode>General</c:formatCode>
                <c:ptCount val="3"/>
                <c:pt idx="0">
                  <c:v>8772</c:v>
                </c:pt>
                <c:pt idx="1">
                  <c:v>8257</c:v>
                </c:pt>
                <c:pt idx="2">
                  <c:v>8257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66A-4C0C-911D-EF799A1D81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3126880"/>
        <c:axId val="2092391568"/>
      </c:barChart>
      <c:catAx>
        <c:axId val="803126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92391568"/>
        <c:crosses val="autoZero"/>
        <c:auto val="1"/>
        <c:lblAlgn val="ctr"/>
        <c:lblOffset val="100"/>
        <c:noMultiLvlLbl val="0"/>
      </c:catAx>
      <c:valAx>
        <c:axId val="2092391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03126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Fallos de Página: 128x1024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'128_1024'!$A$3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'128_1024'!$B$2:$D$2</c:f>
              <c:strCache>
                <c:ptCount val="3"/>
                <c:pt idx="0">
                  <c:v>FIFO</c:v>
                </c:pt>
                <c:pt idx="1">
                  <c:v>FIFOModified</c:v>
                </c:pt>
                <c:pt idx="2">
                  <c:v>LRU</c:v>
                </c:pt>
              </c:strCache>
            </c:strRef>
          </c:cat>
          <c:val>
            <c:numRef>
              <c:f>'128_1024'!$B$3:$D$3</c:f>
              <c:numCache>
                <c:formatCode>General</c:formatCode>
                <c:ptCount val="3"/>
                <c:pt idx="0">
                  <c:v>2580</c:v>
                </c:pt>
                <c:pt idx="1">
                  <c:v>2065</c:v>
                </c:pt>
                <c:pt idx="2">
                  <c:v>2065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1D-4599-BF42-5DDCE6B8160E}"/>
            </c:ext>
          </c:extLst>
        </c:ser>
        <c:ser>
          <c:idx val="1"/>
          <c:order val="1"/>
          <c:tx>
            <c:strRef>
              <c:f>'128_1024'!$A$4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'128_1024'!$B$2:$D$2</c:f>
              <c:strCache>
                <c:ptCount val="3"/>
                <c:pt idx="0">
                  <c:v>FIFO</c:v>
                </c:pt>
                <c:pt idx="1">
                  <c:v>FIFOModified</c:v>
                </c:pt>
                <c:pt idx="2">
                  <c:v>LRU</c:v>
                </c:pt>
              </c:strCache>
            </c:strRef>
          </c:cat>
          <c:val>
            <c:numRef>
              <c:f>'128_1024'!$B$4:$D$4</c:f>
              <c:numCache>
                <c:formatCode>General</c:formatCode>
                <c:ptCount val="3"/>
                <c:pt idx="0">
                  <c:v>2322</c:v>
                </c:pt>
                <c:pt idx="1">
                  <c:v>2065</c:v>
                </c:pt>
                <c:pt idx="2">
                  <c:v>2065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1D-4599-BF42-5DDCE6B8160E}"/>
            </c:ext>
          </c:extLst>
        </c:ser>
        <c:ser>
          <c:idx val="2"/>
          <c:order val="2"/>
          <c:tx>
            <c:strRef>
              <c:f>'128_1024'!$A$5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'128_1024'!$B$2:$D$2</c:f>
              <c:strCache>
                <c:ptCount val="3"/>
                <c:pt idx="0">
                  <c:v>FIFO</c:v>
                </c:pt>
                <c:pt idx="1">
                  <c:v>FIFOModified</c:v>
                </c:pt>
                <c:pt idx="2">
                  <c:v>LRU</c:v>
                </c:pt>
              </c:strCache>
            </c:strRef>
          </c:cat>
          <c:val>
            <c:numRef>
              <c:f>'128_1024'!$B$5:$D$5</c:f>
              <c:numCache>
                <c:formatCode>General</c:formatCode>
                <c:ptCount val="3"/>
                <c:pt idx="0">
                  <c:v>2193</c:v>
                </c:pt>
                <c:pt idx="1">
                  <c:v>2065</c:v>
                </c:pt>
                <c:pt idx="2">
                  <c:v>2065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A1D-4599-BF42-5DDCE6B816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5794352"/>
        <c:axId val="2092503408"/>
      </c:barChart>
      <c:catAx>
        <c:axId val="785794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92503408"/>
        <c:crosses val="autoZero"/>
        <c:auto val="1"/>
        <c:lblAlgn val="ctr"/>
        <c:lblOffset val="100"/>
        <c:noMultiLvlLbl val="0"/>
      </c:catAx>
      <c:valAx>
        <c:axId val="2092503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85794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297180</xdr:colOff>
      <xdr:row>9</xdr:row>
      <xdr:rowOff>45720</xdr:rowOff>
    </xdr:from>
    <xdr:to>
      <xdr:col>21</xdr:col>
      <xdr:colOff>480060</xdr:colOff>
      <xdr:row>17</xdr:row>
      <xdr:rowOff>83820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346A3C5-1C91-020B-F4A5-31002E2F9D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350520</xdr:colOff>
      <xdr:row>17</xdr:row>
      <xdr:rowOff>175260</xdr:rowOff>
    </xdr:from>
    <xdr:to>
      <xdr:col>21</xdr:col>
      <xdr:colOff>563880</xdr:colOff>
      <xdr:row>25</xdr:row>
      <xdr:rowOff>53340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80E9597-C59A-6ACC-2EF9-189322746E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228600</xdr:colOff>
      <xdr:row>25</xdr:row>
      <xdr:rowOff>312420</xdr:rowOff>
    </xdr:from>
    <xdr:to>
      <xdr:col>23</xdr:col>
      <xdr:colOff>45720</xdr:colOff>
      <xdr:row>40</xdr:row>
      <xdr:rowOff>129540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A8EC4EC-0BA2-3625-E13E-D044F5B393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</xdr:colOff>
      <xdr:row>1</xdr:row>
      <xdr:rowOff>0</xdr:rowOff>
    </xdr:from>
    <xdr:to>
      <xdr:col>10</xdr:col>
      <xdr:colOff>617220</xdr:colOff>
      <xdr:row>16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05281CB-3C60-2E78-CC8A-4C7B24D772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274320</xdr:colOff>
      <xdr:row>5</xdr:row>
      <xdr:rowOff>38100</xdr:rowOff>
    </xdr:from>
    <xdr:to>
      <xdr:col>10</xdr:col>
      <xdr:colOff>91440</xdr:colOff>
      <xdr:row>20</xdr:row>
      <xdr:rowOff>38100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D78A44F-71D1-3B35-7203-45A71F21F6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274320</xdr:colOff>
      <xdr:row>5</xdr:row>
      <xdr:rowOff>38100</xdr:rowOff>
    </xdr:from>
    <xdr:to>
      <xdr:col>10</xdr:col>
      <xdr:colOff>91440</xdr:colOff>
      <xdr:row>20</xdr:row>
      <xdr:rowOff>38100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E0C7565-8730-0395-6C70-070F241E0C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274320</xdr:colOff>
      <xdr:row>5</xdr:row>
      <xdr:rowOff>38100</xdr:rowOff>
    </xdr:from>
    <xdr:to>
      <xdr:col>10</xdr:col>
      <xdr:colOff>91440</xdr:colOff>
      <xdr:row>19</xdr:row>
      <xdr:rowOff>175260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184D298-01BA-B282-58EE-4F91B3B3CF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274320</xdr:colOff>
      <xdr:row>5</xdr:row>
      <xdr:rowOff>38100</xdr:rowOff>
    </xdr:from>
    <xdr:to>
      <xdr:col>10</xdr:col>
      <xdr:colOff>91440</xdr:colOff>
      <xdr:row>20</xdr:row>
      <xdr:rowOff>38100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80A3722-592F-AFB6-0098-FD946EB5BF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274320</xdr:colOff>
      <xdr:row>5</xdr:row>
      <xdr:rowOff>38100</xdr:rowOff>
    </xdr:from>
    <xdr:to>
      <xdr:col>10</xdr:col>
      <xdr:colOff>91440</xdr:colOff>
      <xdr:row>20</xdr:row>
      <xdr:rowOff>38100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B39DFD5-55F4-0D85-187B-0269DB03E8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274320</xdr:colOff>
      <xdr:row>5</xdr:row>
      <xdr:rowOff>38100</xdr:rowOff>
    </xdr:from>
    <xdr:to>
      <xdr:col>10</xdr:col>
      <xdr:colOff>91440</xdr:colOff>
      <xdr:row>20</xdr:row>
      <xdr:rowOff>38100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B4B3686-DEAB-1036-B89C-07646A171F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274320</xdr:colOff>
      <xdr:row>5</xdr:row>
      <xdr:rowOff>38100</xdr:rowOff>
    </xdr:from>
    <xdr:to>
      <xdr:col>10</xdr:col>
      <xdr:colOff>91440</xdr:colOff>
      <xdr:row>20</xdr:row>
      <xdr:rowOff>38100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0BDA760-7C27-6172-04FC-3EBD06809A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274320</xdr:colOff>
      <xdr:row>5</xdr:row>
      <xdr:rowOff>38100</xdr:rowOff>
    </xdr:from>
    <xdr:to>
      <xdr:col>10</xdr:col>
      <xdr:colOff>91440</xdr:colOff>
      <xdr:row>20</xdr:row>
      <xdr:rowOff>38100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1710A13-2BF4-8FFB-15D0-34F71C6999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3E3CD-F7A2-40C2-A531-34CB17D32C9D}">
  <dimension ref="A1:Q82"/>
  <sheetViews>
    <sheetView tabSelected="1" topLeftCell="G6" workbookViewId="0">
      <selection activeCell="M31" sqref="M31"/>
    </sheetView>
  </sheetViews>
  <sheetFormatPr baseColWidth="10"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M1" s="2" t="s">
        <v>43</v>
      </c>
      <c r="N1" s="2"/>
      <c r="O1" s="2"/>
      <c r="P1" s="2"/>
    </row>
    <row r="2" spans="1:17" x14ac:dyDescent="0.3">
      <c r="A2" t="s">
        <v>4</v>
      </c>
      <c r="B2">
        <v>4</v>
      </c>
      <c r="C2" t="s">
        <v>5</v>
      </c>
      <c r="D2" t="s">
        <v>6</v>
      </c>
      <c r="E2">
        <f>VALUE(MID(A2,5,SEARCH("_",A2,5)-5))</f>
        <v>128</v>
      </c>
      <c r="F2">
        <f>VALUE(MID(A2,SEARCH("_",A2,5)+1,10))</f>
        <v>1024</v>
      </c>
      <c r="G2">
        <f>6*E2^2</f>
        <v>98304</v>
      </c>
      <c r="H2">
        <f>VALUE(MID(D2,SEARCH("fallos",D2)+7,20))</f>
        <v>2580</v>
      </c>
      <c r="I2">
        <f>G2-H2</f>
        <v>95724</v>
      </c>
      <c r="J2" s="1">
        <f>H2/G2</f>
        <v>2.62451171875E-2</v>
      </c>
      <c r="K2">
        <f>I2*0.0000001+H2*0.008</f>
        <v>20.6495724</v>
      </c>
      <c r="M2" s="2"/>
      <c r="N2" s="2"/>
      <c r="O2" s="2"/>
      <c r="P2" s="2"/>
    </row>
    <row r="3" spans="1:17" x14ac:dyDescent="0.3">
      <c r="A3" t="s">
        <v>4</v>
      </c>
      <c r="B3">
        <v>4</v>
      </c>
      <c r="C3" t="s">
        <v>7</v>
      </c>
      <c r="D3" t="s">
        <v>8</v>
      </c>
      <c r="E3">
        <f t="shared" ref="E3:E66" si="0">VALUE(MID(A3,5,SEARCH("_",A3,5)-5))</f>
        <v>128</v>
      </c>
      <c r="F3">
        <f t="shared" ref="F3:F66" si="1">VALUE(MID(A3,SEARCH("_",A3,5)+1,10))</f>
        <v>1024</v>
      </c>
      <c r="G3">
        <f t="shared" ref="G3:G66" si="2">6*E3^2</f>
        <v>98304</v>
      </c>
      <c r="H3">
        <f t="shared" ref="H3:H66" si="3">VALUE(MID(D3,SEARCH("fallos",D3)+7,20))</f>
        <v>2065</v>
      </c>
      <c r="I3">
        <f t="shared" ref="I3:I66" si="4">G3-H3</f>
        <v>96239</v>
      </c>
      <c r="J3" s="1">
        <f t="shared" ref="J3:J66" si="5">H3/G3</f>
        <v>2.1006266276041668E-2</v>
      </c>
      <c r="K3">
        <f t="shared" ref="K3:K66" si="6">I3*0.0000001+H3*0.008</f>
        <v>16.529623900000001</v>
      </c>
      <c r="M3" s="2"/>
      <c r="N3" s="2"/>
      <c r="O3" s="2"/>
      <c r="P3" s="2"/>
    </row>
    <row r="4" spans="1:17" x14ac:dyDescent="0.3">
      <c r="A4" t="s">
        <v>4</v>
      </c>
      <c r="B4">
        <v>4</v>
      </c>
      <c r="C4" t="s">
        <v>9</v>
      </c>
      <c r="D4" t="s">
        <v>8</v>
      </c>
      <c r="E4">
        <f t="shared" si="0"/>
        <v>128</v>
      </c>
      <c r="F4">
        <f t="shared" si="1"/>
        <v>1024</v>
      </c>
      <c r="G4">
        <f t="shared" si="2"/>
        <v>98304</v>
      </c>
      <c r="H4">
        <f t="shared" si="3"/>
        <v>2065</v>
      </c>
      <c r="I4">
        <f t="shared" si="4"/>
        <v>96239</v>
      </c>
      <c r="J4" s="1">
        <f t="shared" si="5"/>
        <v>2.1006266276041668E-2</v>
      </c>
      <c r="K4">
        <f t="shared" si="6"/>
        <v>16.529623900000001</v>
      </c>
      <c r="M4" s="2"/>
      <c r="N4" s="2"/>
      <c r="O4" s="2"/>
      <c r="P4" s="2"/>
    </row>
    <row r="5" spans="1:17" x14ac:dyDescent="0.3">
      <c r="A5" t="s">
        <v>4</v>
      </c>
      <c r="B5">
        <v>8</v>
      </c>
      <c r="C5" t="s">
        <v>5</v>
      </c>
      <c r="D5" t="s">
        <v>10</v>
      </c>
      <c r="E5">
        <f t="shared" si="0"/>
        <v>128</v>
      </c>
      <c r="F5">
        <f t="shared" si="1"/>
        <v>1024</v>
      </c>
      <c r="G5">
        <f t="shared" si="2"/>
        <v>98304</v>
      </c>
      <c r="H5">
        <f t="shared" si="3"/>
        <v>2322</v>
      </c>
      <c r="I5">
        <f t="shared" si="4"/>
        <v>95982</v>
      </c>
      <c r="J5" s="1">
        <f t="shared" si="5"/>
        <v>2.362060546875E-2</v>
      </c>
      <c r="K5">
        <f t="shared" si="6"/>
        <v>18.5855982</v>
      </c>
      <c r="M5" s="2"/>
      <c r="N5" s="2"/>
      <c r="O5" s="2"/>
      <c r="P5" s="2"/>
    </row>
    <row r="6" spans="1:17" x14ac:dyDescent="0.3">
      <c r="A6" t="s">
        <v>4</v>
      </c>
      <c r="B6">
        <v>8</v>
      </c>
      <c r="C6" t="s">
        <v>7</v>
      </c>
      <c r="D6" t="s">
        <v>8</v>
      </c>
      <c r="E6">
        <f t="shared" si="0"/>
        <v>128</v>
      </c>
      <c r="F6">
        <f t="shared" si="1"/>
        <v>1024</v>
      </c>
      <c r="G6">
        <f t="shared" si="2"/>
        <v>98304</v>
      </c>
      <c r="H6">
        <f t="shared" si="3"/>
        <v>2065</v>
      </c>
      <c r="I6">
        <f t="shared" si="4"/>
        <v>96239</v>
      </c>
      <c r="J6" s="1">
        <f t="shared" si="5"/>
        <v>2.1006266276041668E-2</v>
      </c>
      <c r="K6">
        <f t="shared" si="6"/>
        <v>16.529623900000001</v>
      </c>
      <c r="M6" s="2"/>
      <c r="N6" s="2"/>
      <c r="O6" s="2"/>
      <c r="P6" s="2"/>
    </row>
    <row r="7" spans="1:17" x14ac:dyDescent="0.3">
      <c r="A7" t="s">
        <v>4</v>
      </c>
      <c r="B7">
        <v>8</v>
      </c>
      <c r="C7" t="s">
        <v>9</v>
      </c>
      <c r="D7" t="s">
        <v>8</v>
      </c>
      <c r="E7">
        <f t="shared" si="0"/>
        <v>128</v>
      </c>
      <c r="F7">
        <f t="shared" si="1"/>
        <v>1024</v>
      </c>
      <c r="G7">
        <f t="shared" si="2"/>
        <v>98304</v>
      </c>
      <c r="H7">
        <f t="shared" si="3"/>
        <v>2065</v>
      </c>
      <c r="I7">
        <f t="shared" si="4"/>
        <v>96239</v>
      </c>
      <c r="J7" s="1">
        <f t="shared" si="5"/>
        <v>2.1006266276041668E-2</v>
      </c>
      <c r="K7">
        <f t="shared" si="6"/>
        <v>16.529623900000001</v>
      </c>
      <c r="M7" s="2"/>
      <c r="N7" s="2"/>
      <c r="O7" s="2"/>
      <c r="P7" s="2"/>
    </row>
    <row r="8" spans="1:17" x14ac:dyDescent="0.3">
      <c r="A8" t="s">
        <v>4</v>
      </c>
      <c r="B8">
        <v>16</v>
      </c>
      <c r="C8" t="s">
        <v>5</v>
      </c>
      <c r="D8" t="s">
        <v>11</v>
      </c>
      <c r="E8">
        <f t="shared" si="0"/>
        <v>128</v>
      </c>
      <c r="F8">
        <f t="shared" si="1"/>
        <v>1024</v>
      </c>
      <c r="G8">
        <f t="shared" si="2"/>
        <v>98304</v>
      </c>
      <c r="H8">
        <f t="shared" si="3"/>
        <v>2193</v>
      </c>
      <c r="I8">
        <f t="shared" si="4"/>
        <v>96111</v>
      </c>
      <c r="J8" s="1">
        <f t="shared" si="5"/>
        <v>2.2308349609375E-2</v>
      </c>
      <c r="K8">
        <f t="shared" si="6"/>
        <v>17.553611100000001</v>
      </c>
    </row>
    <row r="9" spans="1:17" x14ac:dyDescent="0.3">
      <c r="A9" t="s">
        <v>4</v>
      </c>
      <c r="B9">
        <v>16</v>
      </c>
      <c r="C9" t="s">
        <v>7</v>
      </c>
      <c r="D9" t="s">
        <v>8</v>
      </c>
      <c r="E9">
        <f t="shared" si="0"/>
        <v>128</v>
      </c>
      <c r="F9">
        <f t="shared" si="1"/>
        <v>1024</v>
      </c>
      <c r="G9">
        <f t="shared" si="2"/>
        <v>98304</v>
      </c>
      <c r="H9">
        <f t="shared" si="3"/>
        <v>2065</v>
      </c>
      <c r="I9">
        <f t="shared" si="4"/>
        <v>96239</v>
      </c>
      <c r="J9" s="1">
        <f t="shared" si="5"/>
        <v>2.1006266276041668E-2</v>
      </c>
      <c r="K9">
        <f t="shared" si="6"/>
        <v>16.529623900000001</v>
      </c>
      <c r="M9" t="s">
        <v>44</v>
      </c>
    </row>
    <row r="10" spans="1:17" x14ac:dyDescent="0.3">
      <c r="A10" t="s">
        <v>4</v>
      </c>
      <c r="B10">
        <v>16</v>
      </c>
      <c r="C10" t="s">
        <v>9</v>
      </c>
      <c r="D10" t="s">
        <v>8</v>
      </c>
      <c r="E10">
        <f t="shared" si="0"/>
        <v>128</v>
      </c>
      <c r="F10">
        <f t="shared" si="1"/>
        <v>1024</v>
      </c>
      <c r="G10">
        <f t="shared" si="2"/>
        <v>98304</v>
      </c>
      <c r="H10">
        <f t="shared" si="3"/>
        <v>2065</v>
      </c>
      <c r="I10">
        <f t="shared" si="4"/>
        <v>96239</v>
      </c>
      <c r="J10" s="1">
        <f t="shared" si="5"/>
        <v>2.1006266276041668E-2</v>
      </c>
      <c r="K10">
        <f t="shared" si="6"/>
        <v>16.529623900000001</v>
      </c>
    </row>
    <row r="11" spans="1:17" x14ac:dyDescent="0.3">
      <c r="A11" t="s">
        <v>12</v>
      </c>
      <c r="B11">
        <v>4</v>
      </c>
      <c r="C11" t="s">
        <v>5</v>
      </c>
      <c r="D11" t="s">
        <v>13</v>
      </c>
      <c r="E11">
        <f t="shared" si="0"/>
        <v>128</v>
      </c>
      <c r="F11">
        <f t="shared" si="1"/>
        <v>256</v>
      </c>
      <c r="G11">
        <f t="shared" si="2"/>
        <v>98304</v>
      </c>
      <c r="H11">
        <f t="shared" si="3"/>
        <v>10320</v>
      </c>
      <c r="I11">
        <f t="shared" si="4"/>
        <v>87984</v>
      </c>
      <c r="J11" s="1">
        <f t="shared" si="5"/>
        <v>0.10498046875</v>
      </c>
      <c r="K11">
        <f t="shared" si="6"/>
        <v>82.568798400000006</v>
      </c>
      <c r="M11" s="4" t="s">
        <v>36</v>
      </c>
      <c r="N11" s="4">
        <v>128</v>
      </c>
      <c r="O11" s="4" t="s">
        <v>37</v>
      </c>
      <c r="P11" s="4">
        <v>64</v>
      </c>
    </row>
    <row r="12" spans="1:17" ht="28.8" x14ac:dyDescent="0.3">
      <c r="A12" t="s">
        <v>12</v>
      </c>
      <c r="B12">
        <v>4</v>
      </c>
      <c r="C12" t="s">
        <v>7</v>
      </c>
      <c r="D12" t="s">
        <v>14</v>
      </c>
      <c r="E12">
        <f t="shared" si="0"/>
        <v>128</v>
      </c>
      <c r="F12">
        <f t="shared" si="1"/>
        <v>256</v>
      </c>
      <c r="G12">
        <f t="shared" si="2"/>
        <v>98304</v>
      </c>
      <c r="H12">
        <f t="shared" si="3"/>
        <v>8257</v>
      </c>
      <c r="I12">
        <f t="shared" si="4"/>
        <v>90047</v>
      </c>
      <c r="J12" s="1">
        <f t="shared" si="5"/>
        <v>8.3994547526041671E-2</v>
      </c>
      <c r="K12">
        <f t="shared" si="6"/>
        <v>66.065004700000003</v>
      </c>
      <c r="M12" s="5"/>
      <c r="N12" s="6"/>
      <c r="O12" s="4" t="s">
        <v>5</v>
      </c>
      <c r="P12" s="4" t="s">
        <v>7</v>
      </c>
      <c r="Q12" s="4" t="s">
        <v>9</v>
      </c>
    </row>
    <row r="13" spans="1:17" x14ac:dyDescent="0.3">
      <c r="A13" t="s">
        <v>12</v>
      </c>
      <c r="B13">
        <v>4</v>
      </c>
      <c r="C13" t="s">
        <v>9</v>
      </c>
      <c r="D13" t="s">
        <v>14</v>
      </c>
      <c r="E13">
        <f t="shared" si="0"/>
        <v>128</v>
      </c>
      <c r="F13">
        <f t="shared" si="1"/>
        <v>256</v>
      </c>
      <c r="G13">
        <f t="shared" si="2"/>
        <v>98304</v>
      </c>
      <c r="H13">
        <f t="shared" si="3"/>
        <v>8257</v>
      </c>
      <c r="I13">
        <f t="shared" si="4"/>
        <v>90047</v>
      </c>
      <c r="J13" s="1">
        <f t="shared" si="5"/>
        <v>8.3994547526041671E-2</v>
      </c>
      <c r="K13">
        <f t="shared" si="6"/>
        <v>66.065004700000003</v>
      </c>
      <c r="M13" s="5"/>
      <c r="N13" s="4">
        <v>4</v>
      </c>
      <c r="O13">
        <f>SUMIFS($K:$K,$E:$E,$N$11,$F:$F,$P$11,$B:$B,$N13,$C:$C,O$12)</f>
        <v>166.91974400000001</v>
      </c>
      <c r="P13">
        <f t="shared" ref="P13:Q15" si="7">SUMIFS($K:$K,$E:$E,$N$11,$F:$F,$P$11,$B:$B,$N13,$C:$C,P$12)</f>
        <v>137.2241152</v>
      </c>
      <c r="Q13">
        <f t="shared" si="7"/>
        <v>137.2241152</v>
      </c>
    </row>
    <row r="14" spans="1:17" x14ac:dyDescent="0.3">
      <c r="A14" t="s">
        <v>12</v>
      </c>
      <c r="B14">
        <v>8</v>
      </c>
      <c r="C14" t="s">
        <v>5</v>
      </c>
      <c r="D14" t="s">
        <v>15</v>
      </c>
      <c r="E14">
        <f t="shared" si="0"/>
        <v>128</v>
      </c>
      <c r="F14">
        <f t="shared" si="1"/>
        <v>256</v>
      </c>
      <c r="G14">
        <f t="shared" si="2"/>
        <v>98304</v>
      </c>
      <c r="H14">
        <f t="shared" si="3"/>
        <v>9288</v>
      </c>
      <c r="I14">
        <f t="shared" si="4"/>
        <v>89016</v>
      </c>
      <c r="J14" s="1">
        <f t="shared" si="5"/>
        <v>9.4482421875E-2</v>
      </c>
      <c r="K14">
        <f t="shared" si="6"/>
        <v>74.312901600000004</v>
      </c>
      <c r="M14" s="5"/>
      <c r="N14" s="4">
        <v>8</v>
      </c>
      <c r="O14">
        <f t="shared" ref="O14:O15" si="8">SUMIFS($K:$K,$E:$E,$N$11,$F:$F,$P$11,$B:$B,$N14,$C:$C,O$12)</f>
        <v>150.02395519999999</v>
      </c>
      <c r="P14">
        <f t="shared" si="7"/>
        <v>135.18414070000003</v>
      </c>
      <c r="Q14">
        <f t="shared" si="7"/>
        <v>135.18414070000003</v>
      </c>
    </row>
    <row r="15" spans="1:17" x14ac:dyDescent="0.3">
      <c r="A15" t="s">
        <v>12</v>
      </c>
      <c r="B15">
        <v>8</v>
      </c>
      <c r="C15" t="s">
        <v>7</v>
      </c>
      <c r="D15" t="s">
        <v>14</v>
      </c>
      <c r="E15">
        <f t="shared" si="0"/>
        <v>128</v>
      </c>
      <c r="F15">
        <f t="shared" si="1"/>
        <v>256</v>
      </c>
      <c r="G15">
        <f t="shared" si="2"/>
        <v>98304</v>
      </c>
      <c r="H15">
        <f t="shared" si="3"/>
        <v>8257</v>
      </c>
      <c r="I15">
        <f t="shared" si="4"/>
        <v>90047</v>
      </c>
      <c r="J15" s="1">
        <f t="shared" si="5"/>
        <v>8.3994547526041671E-2</v>
      </c>
      <c r="K15">
        <f t="shared" si="6"/>
        <v>66.065004700000003</v>
      </c>
      <c r="M15" s="5"/>
      <c r="N15" s="4">
        <v>16</v>
      </c>
      <c r="O15">
        <f t="shared" si="8"/>
        <v>141.57606080000002</v>
      </c>
      <c r="P15">
        <f t="shared" si="7"/>
        <v>135.18414070000003</v>
      </c>
      <c r="Q15">
        <f t="shared" si="7"/>
        <v>135.18414070000003</v>
      </c>
    </row>
    <row r="16" spans="1:17" x14ac:dyDescent="0.3">
      <c r="A16" t="s">
        <v>12</v>
      </c>
      <c r="B16">
        <v>8</v>
      </c>
      <c r="C16" t="s">
        <v>9</v>
      </c>
      <c r="D16" t="s">
        <v>14</v>
      </c>
      <c r="E16">
        <f t="shared" si="0"/>
        <v>128</v>
      </c>
      <c r="F16">
        <f t="shared" si="1"/>
        <v>256</v>
      </c>
      <c r="G16">
        <f t="shared" si="2"/>
        <v>98304</v>
      </c>
      <c r="H16">
        <f t="shared" si="3"/>
        <v>8257</v>
      </c>
      <c r="I16">
        <f t="shared" si="4"/>
        <v>90047</v>
      </c>
      <c r="J16" s="1">
        <f t="shared" si="5"/>
        <v>8.3994547526041671E-2</v>
      </c>
      <c r="K16">
        <f t="shared" si="6"/>
        <v>66.065004700000003</v>
      </c>
    </row>
    <row r="17" spans="1:17" x14ac:dyDescent="0.3">
      <c r="A17" t="s">
        <v>12</v>
      </c>
      <c r="B17">
        <v>16</v>
      </c>
      <c r="C17" t="s">
        <v>5</v>
      </c>
      <c r="D17" t="s">
        <v>16</v>
      </c>
      <c r="E17">
        <f t="shared" si="0"/>
        <v>128</v>
      </c>
      <c r="F17">
        <f t="shared" si="1"/>
        <v>256</v>
      </c>
      <c r="G17">
        <f t="shared" si="2"/>
        <v>98304</v>
      </c>
      <c r="H17">
        <f t="shared" si="3"/>
        <v>8772</v>
      </c>
      <c r="I17">
        <f t="shared" si="4"/>
        <v>89532</v>
      </c>
      <c r="J17" s="1">
        <f t="shared" si="5"/>
        <v>8.92333984375E-2</v>
      </c>
      <c r="K17">
        <f t="shared" si="6"/>
        <v>70.184953199999995</v>
      </c>
    </row>
    <row r="18" spans="1:17" x14ac:dyDescent="0.3">
      <c r="A18" t="s">
        <v>12</v>
      </c>
      <c r="B18">
        <v>16</v>
      </c>
      <c r="C18" t="s">
        <v>7</v>
      </c>
      <c r="D18" t="s">
        <v>14</v>
      </c>
      <c r="E18">
        <f t="shared" si="0"/>
        <v>128</v>
      </c>
      <c r="F18">
        <f t="shared" si="1"/>
        <v>256</v>
      </c>
      <c r="G18">
        <f t="shared" si="2"/>
        <v>98304</v>
      </c>
      <c r="H18">
        <f t="shared" si="3"/>
        <v>8257</v>
      </c>
      <c r="I18">
        <f t="shared" si="4"/>
        <v>90047</v>
      </c>
      <c r="J18" s="1">
        <f t="shared" si="5"/>
        <v>8.3994547526041671E-2</v>
      </c>
      <c r="K18">
        <f t="shared" si="6"/>
        <v>66.065004700000003</v>
      </c>
      <c r="M18" s="4" t="s">
        <v>36</v>
      </c>
      <c r="N18" s="4">
        <v>128</v>
      </c>
      <c r="O18" s="4" t="s">
        <v>37</v>
      </c>
      <c r="P18" s="4">
        <v>256</v>
      </c>
    </row>
    <row r="19" spans="1:17" ht="28.8" x14ac:dyDescent="0.3">
      <c r="A19" t="s">
        <v>12</v>
      </c>
      <c r="B19">
        <v>16</v>
      </c>
      <c r="C19" t="s">
        <v>9</v>
      </c>
      <c r="D19" t="s">
        <v>14</v>
      </c>
      <c r="E19">
        <f t="shared" si="0"/>
        <v>128</v>
      </c>
      <c r="F19">
        <f t="shared" si="1"/>
        <v>256</v>
      </c>
      <c r="G19">
        <f t="shared" si="2"/>
        <v>98304</v>
      </c>
      <c r="H19">
        <f t="shared" si="3"/>
        <v>8257</v>
      </c>
      <c r="I19">
        <f t="shared" si="4"/>
        <v>90047</v>
      </c>
      <c r="J19" s="1">
        <f t="shared" si="5"/>
        <v>8.3994547526041671E-2</v>
      </c>
      <c r="K19">
        <f t="shared" si="6"/>
        <v>66.065004700000003</v>
      </c>
      <c r="M19" s="5"/>
      <c r="N19" s="6"/>
      <c r="O19" s="4" t="s">
        <v>5</v>
      </c>
      <c r="P19" s="4" t="s">
        <v>7</v>
      </c>
      <c r="Q19" s="4" t="s">
        <v>9</v>
      </c>
    </row>
    <row r="20" spans="1:17" x14ac:dyDescent="0.3">
      <c r="A20" t="s">
        <v>17</v>
      </c>
      <c r="B20">
        <v>4</v>
      </c>
      <c r="C20" t="s">
        <v>5</v>
      </c>
      <c r="D20" t="s">
        <v>18</v>
      </c>
      <c r="E20">
        <f t="shared" si="0"/>
        <v>128</v>
      </c>
      <c r="F20">
        <f t="shared" si="1"/>
        <v>64</v>
      </c>
      <c r="G20">
        <f t="shared" si="2"/>
        <v>98304</v>
      </c>
      <c r="H20">
        <f t="shared" si="3"/>
        <v>20864</v>
      </c>
      <c r="I20">
        <f t="shared" si="4"/>
        <v>77440</v>
      </c>
      <c r="J20" s="1">
        <f t="shared" si="5"/>
        <v>0.21223958333333334</v>
      </c>
      <c r="K20">
        <f t="shared" si="6"/>
        <v>166.91974400000001</v>
      </c>
      <c r="M20" s="5"/>
      <c r="N20" s="4">
        <v>4</v>
      </c>
      <c r="O20">
        <f>SUMIFS($K:$K,$E:$E,$N$11,$F:$F,$P$18,$B:$B,$N20,$C:$C,O$12)</f>
        <v>82.568798400000006</v>
      </c>
      <c r="P20">
        <f t="shared" ref="P20:Q22" si="9">SUMIFS($K:$K,$E:$E,$N$11,$F:$F,$P$18,$B:$B,$N20,$C:$C,P$12)</f>
        <v>66.065004700000003</v>
      </c>
      <c r="Q20">
        <f t="shared" si="9"/>
        <v>66.065004700000003</v>
      </c>
    </row>
    <row r="21" spans="1:17" x14ac:dyDescent="0.3">
      <c r="A21" t="s">
        <v>17</v>
      </c>
      <c r="B21">
        <v>4</v>
      </c>
      <c r="C21" t="s">
        <v>7</v>
      </c>
      <c r="D21" t="s">
        <v>19</v>
      </c>
      <c r="E21">
        <f t="shared" si="0"/>
        <v>128</v>
      </c>
      <c r="F21">
        <f t="shared" si="1"/>
        <v>64</v>
      </c>
      <c r="G21">
        <f t="shared" si="2"/>
        <v>98304</v>
      </c>
      <c r="H21">
        <f t="shared" si="3"/>
        <v>17152</v>
      </c>
      <c r="I21">
        <f t="shared" si="4"/>
        <v>81152</v>
      </c>
      <c r="J21" s="1">
        <f t="shared" si="5"/>
        <v>0.17447916666666666</v>
      </c>
      <c r="K21">
        <f t="shared" si="6"/>
        <v>137.2241152</v>
      </c>
      <c r="M21" s="5"/>
      <c r="N21" s="4">
        <v>8</v>
      </c>
      <c r="O21">
        <f t="shared" ref="O21:O22" si="10">SUMIFS($K:$K,$E:$E,$N$11,$F:$F,$P$18,$B:$B,$N21,$C:$C,O$12)</f>
        <v>74.312901600000004</v>
      </c>
      <c r="P21">
        <f t="shared" si="9"/>
        <v>66.065004700000003</v>
      </c>
      <c r="Q21">
        <f t="shared" si="9"/>
        <v>66.065004700000003</v>
      </c>
    </row>
    <row r="22" spans="1:17" x14ac:dyDescent="0.3">
      <c r="A22" t="s">
        <v>17</v>
      </c>
      <c r="B22">
        <v>4</v>
      </c>
      <c r="C22" t="s">
        <v>9</v>
      </c>
      <c r="D22" t="s">
        <v>19</v>
      </c>
      <c r="E22">
        <f t="shared" si="0"/>
        <v>128</v>
      </c>
      <c r="F22">
        <f t="shared" si="1"/>
        <v>64</v>
      </c>
      <c r="G22">
        <f t="shared" si="2"/>
        <v>98304</v>
      </c>
      <c r="H22">
        <f t="shared" si="3"/>
        <v>17152</v>
      </c>
      <c r="I22">
        <f t="shared" si="4"/>
        <v>81152</v>
      </c>
      <c r="J22" s="1">
        <f t="shared" si="5"/>
        <v>0.17447916666666666</v>
      </c>
      <c r="K22">
        <f t="shared" si="6"/>
        <v>137.2241152</v>
      </c>
      <c r="M22" s="5"/>
      <c r="N22" s="4">
        <v>16</v>
      </c>
      <c r="O22">
        <f t="shared" si="10"/>
        <v>70.184953199999995</v>
      </c>
      <c r="P22">
        <f t="shared" si="9"/>
        <v>66.065004700000003</v>
      </c>
      <c r="Q22">
        <f t="shared" si="9"/>
        <v>66.065004700000003</v>
      </c>
    </row>
    <row r="23" spans="1:17" x14ac:dyDescent="0.3">
      <c r="A23" t="s">
        <v>17</v>
      </c>
      <c r="B23">
        <v>8</v>
      </c>
      <c r="C23" t="s">
        <v>5</v>
      </c>
      <c r="D23" t="s">
        <v>20</v>
      </c>
      <c r="E23">
        <f t="shared" si="0"/>
        <v>128</v>
      </c>
      <c r="F23">
        <f t="shared" si="1"/>
        <v>64</v>
      </c>
      <c r="G23">
        <f t="shared" si="2"/>
        <v>98304</v>
      </c>
      <c r="H23">
        <f t="shared" si="3"/>
        <v>18752</v>
      </c>
      <c r="I23">
        <f t="shared" si="4"/>
        <v>79552</v>
      </c>
      <c r="J23" s="1">
        <f t="shared" si="5"/>
        <v>0.19075520833333334</v>
      </c>
      <c r="K23">
        <f t="shared" si="6"/>
        <v>150.02395519999999</v>
      </c>
    </row>
    <row r="24" spans="1:17" x14ac:dyDescent="0.3">
      <c r="A24" t="s">
        <v>17</v>
      </c>
      <c r="B24">
        <v>8</v>
      </c>
      <c r="C24" t="s">
        <v>7</v>
      </c>
      <c r="D24" t="s">
        <v>21</v>
      </c>
      <c r="E24">
        <f t="shared" si="0"/>
        <v>128</v>
      </c>
      <c r="F24">
        <f t="shared" si="1"/>
        <v>64</v>
      </c>
      <c r="G24">
        <f t="shared" si="2"/>
        <v>98304</v>
      </c>
      <c r="H24">
        <f t="shared" si="3"/>
        <v>16897</v>
      </c>
      <c r="I24">
        <f t="shared" si="4"/>
        <v>81407</v>
      </c>
      <c r="J24" s="1">
        <f t="shared" si="5"/>
        <v>0.17188517252604166</v>
      </c>
      <c r="K24">
        <f t="shared" si="6"/>
        <v>135.18414070000003</v>
      </c>
    </row>
    <row r="25" spans="1:17" x14ac:dyDescent="0.3">
      <c r="A25" t="s">
        <v>17</v>
      </c>
      <c r="B25">
        <v>8</v>
      </c>
      <c r="C25" t="s">
        <v>9</v>
      </c>
      <c r="D25" t="s">
        <v>21</v>
      </c>
      <c r="E25">
        <f t="shared" si="0"/>
        <v>128</v>
      </c>
      <c r="F25">
        <f t="shared" si="1"/>
        <v>64</v>
      </c>
      <c r="G25">
        <f t="shared" si="2"/>
        <v>98304</v>
      </c>
      <c r="H25">
        <f t="shared" si="3"/>
        <v>16897</v>
      </c>
      <c r="I25">
        <f t="shared" si="4"/>
        <v>81407</v>
      </c>
      <c r="J25" s="1">
        <f t="shared" si="5"/>
        <v>0.17188517252604166</v>
      </c>
      <c r="K25">
        <f t="shared" si="6"/>
        <v>135.18414070000003</v>
      </c>
      <c r="M25" s="4" t="s">
        <v>36</v>
      </c>
      <c r="N25" s="4">
        <v>128</v>
      </c>
      <c r="O25" s="4" t="s">
        <v>37</v>
      </c>
      <c r="P25" s="4">
        <v>1024</v>
      </c>
    </row>
    <row r="26" spans="1:17" ht="28.8" x14ac:dyDescent="0.3">
      <c r="A26" t="s">
        <v>17</v>
      </c>
      <c r="B26">
        <v>16</v>
      </c>
      <c r="C26" t="s">
        <v>5</v>
      </c>
      <c r="D26" t="s">
        <v>22</v>
      </c>
      <c r="E26">
        <f t="shared" si="0"/>
        <v>128</v>
      </c>
      <c r="F26">
        <f t="shared" si="1"/>
        <v>64</v>
      </c>
      <c r="G26">
        <f t="shared" si="2"/>
        <v>98304</v>
      </c>
      <c r="H26">
        <f t="shared" si="3"/>
        <v>17696</v>
      </c>
      <c r="I26">
        <f t="shared" si="4"/>
        <v>80608</v>
      </c>
      <c r="J26" s="1">
        <f t="shared" si="5"/>
        <v>0.18001302083333334</v>
      </c>
      <c r="K26">
        <f t="shared" si="6"/>
        <v>141.57606080000002</v>
      </c>
      <c r="M26" s="5"/>
      <c r="N26" s="6"/>
      <c r="O26" s="4" t="s">
        <v>5</v>
      </c>
      <c r="P26" s="4" t="s">
        <v>7</v>
      </c>
      <c r="Q26" s="4" t="s">
        <v>9</v>
      </c>
    </row>
    <row r="27" spans="1:17" x14ac:dyDescent="0.3">
      <c r="A27" t="s">
        <v>17</v>
      </c>
      <c r="B27">
        <v>16</v>
      </c>
      <c r="C27" t="s">
        <v>7</v>
      </c>
      <c r="D27" t="s">
        <v>21</v>
      </c>
      <c r="E27">
        <f t="shared" si="0"/>
        <v>128</v>
      </c>
      <c r="F27">
        <f t="shared" si="1"/>
        <v>64</v>
      </c>
      <c r="G27">
        <f t="shared" si="2"/>
        <v>98304</v>
      </c>
      <c r="H27">
        <f t="shared" si="3"/>
        <v>16897</v>
      </c>
      <c r="I27">
        <f t="shared" si="4"/>
        <v>81407</v>
      </c>
      <c r="J27" s="1">
        <f t="shared" si="5"/>
        <v>0.17188517252604166</v>
      </c>
      <c r="K27">
        <f t="shared" si="6"/>
        <v>135.18414070000003</v>
      </c>
      <c r="M27" s="5"/>
      <c r="N27" s="4">
        <v>4</v>
      </c>
      <c r="O27">
        <f>SUMIFS($K:$K,$E:$E,$N$11,$F:$F,$P$25,$B:$B,$N27,$C:$C,O$12)</f>
        <v>20.6495724</v>
      </c>
      <c r="P27">
        <f t="shared" ref="P27:Q29" si="11">SUMIFS($K:$K,$E:$E,$N$11,$F:$F,$P$25,$B:$B,$N27,$C:$C,P$12)</f>
        <v>16.529623900000001</v>
      </c>
      <c r="Q27">
        <f t="shared" si="11"/>
        <v>16.529623900000001</v>
      </c>
    </row>
    <row r="28" spans="1:17" x14ac:dyDescent="0.3">
      <c r="A28" t="s">
        <v>17</v>
      </c>
      <c r="B28">
        <v>16</v>
      </c>
      <c r="C28" t="s">
        <v>9</v>
      </c>
      <c r="D28" t="s">
        <v>21</v>
      </c>
      <c r="E28">
        <f t="shared" si="0"/>
        <v>128</v>
      </c>
      <c r="F28">
        <f t="shared" si="1"/>
        <v>64</v>
      </c>
      <c r="G28">
        <f t="shared" si="2"/>
        <v>98304</v>
      </c>
      <c r="H28">
        <f t="shared" si="3"/>
        <v>16897</v>
      </c>
      <c r="I28">
        <f t="shared" si="4"/>
        <v>81407</v>
      </c>
      <c r="J28" s="1">
        <f t="shared" si="5"/>
        <v>0.17188517252604166</v>
      </c>
      <c r="K28">
        <f t="shared" si="6"/>
        <v>135.18414070000003</v>
      </c>
      <c r="M28" s="5"/>
      <c r="N28" s="4">
        <v>8</v>
      </c>
      <c r="O28">
        <f t="shared" ref="O28:O29" si="12">SUMIFS($K:$K,$E:$E,$N$11,$F:$F,$P$25,$B:$B,$N28,$C:$C,O$12)</f>
        <v>18.5855982</v>
      </c>
      <c r="P28">
        <f t="shared" si="11"/>
        <v>16.529623900000001</v>
      </c>
      <c r="Q28">
        <f t="shared" si="11"/>
        <v>16.529623900000001</v>
      </c>
    </row>
    <row r="29" spans="1:17" x14ac:dyDescent="0.3">
      <c r="A29" t="s">
        <v>23</v>
      </c>
      <c r="B29">
        <v>4</v>
      </c>
      <c r="C29" t="s">
        <v>5</v>
      </c>
      <c r="D29" t="s">
        <v>24</v>
      </c>
      <c r="E29">
        <f t="shared" si="0"/>
        <v>16</v>
      </c>
      <c r="F29">
        <f t="shared" si="1"/>
        <v>1024</v>
      </c>
      <c r="G29">
        <f t="shared" si="2"/>
        <v>1536</v>
      </c>
      <c r="H29">
        <f t="shared" si="3"/>
        <v>1</v>
      </c>
      <c r="I29">
        <f t="shared" si="4"/>
        <v>1535</v>
      </c>
      <c r="J29" s="1">
        <f t="shared" si="5"/>
        <v>6.5104166666666663E-4</v>
      </c>
      <c r="K29">
        <f t="shared" si="6"/>
        <v>8.153500000000001E-3</v>
      </c>
      <c r="M29" s="5"/>
      <c r="N29" s="4">
        <v>16</v>
      </c>
      <c r="O29">
        <f t="shared" si="12"/>
        <v>17.553611100000001</v>
      </c>
      <c r="P29">
        <f t="shared" si="11"/>
        <v>16.529623900000001</v>
      </c>
      <c r="Q29">
        <f t="shared" si="11"/>
        <v>16.529623900000001</v>
      </c>
    </row>
    <row r="30" spans="1:17" x14ac:dyDescent="0.3">
      <c r="A30" t="s">
        <v>23</v>
      </c>
      <c r="B30">
        <v>4</v>
      </c>
      <c r="C30" t="s">
        <v>7</v>
      </c>
      <c r="D30" t="s">
        <v>24</v>
      </c>
      <c r="E30">
        <f t="shared" si="0"/>
        <v>16</v>
      </c>
      <c r="F30">
        <f t="shared" si="1"/>
        <v>1024</v>
      </c>
      <c r="G30">
        <f t="shared" si="2"/>
        <v>1536</v>
      </c>
      <c r="H30">
        <f t="shared" si="3"/>
        <v>1</v>
      </c>
      <c r="I30">
        <f t="shared" si="4"/>
        <v>1535</v>
      </c>
      <c r="J30" s="1">
        <f t="shared" si="5"/>
        <v>6.5104166666666663E-4</v>
      </c>
      <c r="K30">
        <f t="shared" si="6"/>
        <v>8.153500000000001E-3</v>
      </c>
    </row>
    <row r="31" spans="1:17" x14ac:dyDescent="0.3">
      <c r="A31" t="s">
        <v>23</v>
      </c>
      <c r="B31">
        <v>4</v>
      </c>
      <c r="C31" t="s">
        <v>9</v>
      </c>
      <c r="D31" t="s">
        <v>24</v>
      </c>
      <c r="E31">
        <f t="shared" si="0"/>
        <v>16</v>
      </c>
      <c r="F31">
        <f t="shared" si="1"/>
        <v>1024</v>
      </c>
      <c r="G31">
        <f t="shared" si="2"/>
        <v>1536</v>
      </c>
      <c r="H31">
        <f t="shared" si="3"/>
        <v>1</v>
      </c>
      <c r="I31">
        <f t="shared" si="4"/>
        <v>1535</v>
      </c>
      <c r="J31" s="1">
        <f t="shared" si="5"/>
        <v>6.5104166666666663E-4</v>
      </c>
      <c r="K31">
        <f t="shared" si="6"/>
        <v>8.153500000000001E-3</v>
      </c>
    </row>
    <row r="32" spans="1:17" x14ac:dyDescent="0.3">
      <c r="A32" t="s">
        <v>23</v>
      </c>
      <c r="B32">
        <v>8</v>
      </c>
      <c r="C32" t="s">
        <v>5</v>
      </c>
      <c r="D32" t="s">
        <v>24</v>
      </c>
      <c r="E32">
        <f t="shared" si="0"/>
        <v>16</v>
      </c>
      <c r="F32">
        <f t="shared" si="1"/>
        <v>1024</v>
      </c>
      <c r="G32">
        <f t="shared" si="2"/>
        <v>1536</v>
      </c>
      <c r="H32">
        <f t="shared" si="3"/>
        <v>1</v>
      </c>
      <c r="I32">
        <f t="shared" si="4"/>
        <v>1535</v>
      </c>
      <c r="J32" s="1">
        <f t="shared" si="5"/>
        <v>6.5104166666666663E-4</v>
      </c>
      <c r="K32">
        <f t="shared" si="6"/>
        <v>8.153500000000001E-3</v>
      </c>
    </row>
    <row r="33" spans="1:11" x14ac:dyDescent="0.3">
      <c r="A33" t="s">
        <v>23</v>
      </c>
      <c r="B33">
        <v>8</v>
      </c>
      <c r="C33" t="s">
        <v>7</v>
      </c>
      <c r="D33" t="s">
        <v>24</v>
      </c>
      <c r="E33">
        <f t="shared" si="0"/>
        <v>16</v>
      </c>
      <c r="F33">
        <f t="shared" si="1"/>
        <v>1024</v>
      </c>
      <c r="G33">
        <f t="shared" si="2"/>
        <v>1536</v>
      </c>
      <c r="H33">
        <f t="shared" si="3"/>
        <v>1</v>
      </c>
      <c r="I33">
        <f t="shared" si="4"/>
        <v>1535</v>
      </c>
      <c r="J33" s="1">
        <f t="shared" si="5"/>
        <v>6.5104166666666663E-4</v>
      </c>
      <c r="K33">
        <f t="shared" si="6"/>
        <v>8.153500000000001E-3</v>
      </c>
    </row>
    <row r="34" spans="1:11" x14ac:dyDescent="0.3">
      <c r="A34" t="s">
        <v>23</v>
      </c>
      <c r="B34">
        <v>8</v>
      </c>
      <c r="C34" t="s">
        <v>9</v>
      </c>
      <c r="D34" t="s">
        <v>24</v>
      </c>
      <c r="E34">
        <f t="shared" si="0"/>
        <v>16</v>
      </c>
      <c r="F34">
        <f t="shared" si="1"/>
        <v>1024</v>
      </c>
      <c r="G34">
        <f t="shared" si="2"/>
        <v>1536</v>
      </c>
      <c r="H34">
        <f t="shared" si="3"/>
        <v>1</v>
      </c>
      <c r="I34">
        <f t="shared" si="4"/>
        <v>1535</v>
      </c>
      <c r="J34" s="1">
        <f t="shared" si="5"/>
        <v>6.5104166666666663E-4</v>
      </c>
      <c r="K34">
        <f t="shared" si="6"/>
        <v>8.153500000000001E-3</v>
      </c>
    </row>
    <row r="35" spans="1:11" x14ac:dyDescent="0.3">
      <c r="A35" t="s">
        <v>23</v>
      </c>
      <c r="B35">
        <v>16</v>
      </c>
      <c r="C35" t="s">
        <v>5</v>
      </c>
      <c r="D35" t="s">
        <v>24</v>
      </c>
      <c r="E35">
        <f t="shared" si="0"/>
        <v>16</v>
      </c>
      <c r="F35">
        <f t="shared" si="1"/>
        <v>1024</v>
      </c>
      <c r="G35">
        <f t="shared" si="2"/>
        <v>1536</v>
      </c>
      <c r="H35">
        <f t="shared" si="3"/>
        <v>1</v>
      </c>
      <c r="I35">
        <f t="shared" si="4"/>
        <v>1535</v>
      </c>
      <c r="J35" s="1">
        <f t="shared" si="5"/>
        <v>6.5104166666666663E-4</v>
      </c>
      <c r="K35">
        <f t="shared" si="6"/>
        <v>8.153500000000001E-3</v>
      </c>
    </row>
    <row r="36" spans="1:11" x14ac:dyDescent="0.3">
      <c r="A36" t="s">
        <v>23</v>
      </c>
      <c r="B36">
        <v>16</v>
      </c>
      <c r="C36" t="s">
        <v>7</v>
      </c>
      <c r="D36" t="s">
        <v>24</v>
      </c>
      <c r="E36">
        <f t="shared" si="0"/>
        <v>16</v>
      </c>
      <c r="F36">
        <f t="shared" si="1"/>
        <v>1024</v>
      </c>
      <c r="G36">
        <f t="shared" si="2"/>
        <v>1536</v>
      </c>
      <c r="H36">
        <f t="shared" si="3"/>
        <v>1</v>
      </c>
      <c r="I36">
        <f t="shared" si="4"/>
        <v>1535</v>
      </c>
      <c r="J36" s="1">
        <f t="shared" si="5"/>
        <v>6.5104166666666663E-4</v>
      </c>
      <c r="K36">
        <f t="shared" si="6"/>
        <v>8.153500000000001E-3</v>
      </c>
    </row>
    <row r="37" spans="1:11" x14ac:dyDescent="0.3">
      <c r="A37" t="s">
        <v>23</v>
      </c>
      <c r="B37">
        <v>16</v>
      </c>
      <c r="C37" t="s">
        <v>9</v>
      </c>
      <c r="D37" t="s">
        <v>24</v>
      </c>
      <c r="E37">
        <f t="shared" si="0"/>
        <v>16</v>
      </c>
      <c r="F37">
        <f t="shared" si="1"/>
        <v>1024</v>
      </c>
      <c r="G37">
        <f t="shared" si="2"/>
        <v>1536</v>
      </c>
      <c r="H37">
        <f t="shared" si="3"/>
        <v>1</v>
      </c>
      <c r="I37">
        <f t="shared" si="4"/>
        <v>1535</v>
      </c>
      <c r="J37" s="1">
        <f t="shared" si="5"/>
        <v>6.5104166666666663E-4</v>
      </c>
      <c r="K37">
        <f t="shared" si="6"/>
        <v>8.153500000000001E-3</v>
      </c>
    </row>
    <row r="38" spans="1:11" x14ac:dyDescent="0.3">
      <c r="A38" t="s">
        <v>25</v>
      </c>
      <c r="B38">
        <v>4</v>
      </c>
      <c r="C38" t="s">
        <v>5</v>
      </c>
      <c r="D38" t="s">
        <v>26</v>
      </c>
      <c r="E38">
        <f t="shared" si="0"/>
        <v>16</v>
      </c>
      <c r="F38">
        <f t="shared" si="1"/>
        <v>256</v>
      </c>
      <c r="G38">
        <f t="shared" si="2"/>
        <v>1536</v>
      </c>
      <c r="H38">
        <f t="shared" si="3"/>
        <v>2</v>
      </c>
      <c r="I38">
        <f t="shared" si="4"/>
        <v>1534</v>
      </c>
      <c r="J38" s="1">
        <f t="shared" si="5"/>
        <v>1.3020833333333333E-3</v>
      </c>
      <c r="K38">
        <f t="shared" si="6"/>
        <v>1.6153400000000002E-2</v>
      </c>
    </row>
    <row r="39" spans="1:11" x14ac:dyDescent="0.3">
      <c r="A39" t="s">
        <v>25</v>
      </c>
      <c r="B39">
        <v>4</v>
      </c>
      <c r="C39" t="s">
        <v>7</v>
      </c>
      <c r="D39" t="s">
        <v>26</v>
      </c>
      <c r="E39">
        <f t="shared" si="0"/>
        <v>16</v>
      </c>
      <c r="F39">
        <f t="shared" si="1"/>
        <v>256</v>
      </c>
      <c r="G39">
        <f t="shared" si="2"/>
        <v>1536</v>
      </c>
      <c r="H39">
        <f t="shared" si="3"/>
        <v>2</v>
      </c>
      <c r="I39">
        <f t="shared" si="4"/>
        <v>1534</v>
      </c>
      <c r="J39" s="1">
        <f t="shared" si="5"/>
        <v>1.3020833333333333E-3</v>
      </c>
      <c r="K39">
        <f t="shared" si="6"/>
        <v>1.6153400000000002E-2</v>
      </c>
    </row>
    <row r="40" spans="1:11" x14ac:dyDescent="0.3">
      <c r="A40" t="s">
        <v>25</v>
      </c>
      <c r="B40">
        <v>4</v>
      </c>
      <c r="C40" t="s">
        <v>9</v>
      </c>
      <c r="D40" t="s">
        <v>26</v>
      </c>
      <c r="E40">
        <f t="shared" si="0"/>
        <v>16</v>
      </c>
      <c r="F40">
        <f t="shared" si="1"/>
        <v>256</v>
      </c>
      <c r="G40">
        <f t="shared" si="2"/>
        <v>1536</v>
      </c>
      <c r="H40">
        <f t="shared" si="3"/>
        <v>2</v>
      </c>
      <c r="I40">
        <f t="shared" si="4"/>
        <v>1534</v>
      </c>
      <c r="J40" s="1">
        <f t="shared" si="5"/>
        <v>1.3020833333333333E-3</v>
      </c>
      <c r="K40">
        <f t="shared" si="6"/>
        <v>1.6153400000000002E-2</v>
      </c>
    </row>
    <row r="41" spans="1:11" x14ac:dyDescent="0.3">
      <c r="A41" t="s">
        <v>25</v>
      </c>
      <c r="B41">
        <v>8</v>
      </c>
      <c r="C41" t="s">
        <v>5</v>
      </c>
      <c r="D41" t="s">
        <v>26</v>
      </c>
      <c r="E41">
        <f t="shared" si="0"/>
        <v>16</v>
      </c>
      <c r="F41">
        <f t="shared" si="1"/>
        <v>256</v>
      </c>
      <c r="G41">
        <f t="shared" si="2"/>
        <v>1536</v>
      </c>
      <c r="H41">
        <f t="shared" si="3"/>
        <v>2</v>
      </c>
      <c r="I41">
        <f t="shared" si="4"/>
        <v>1534</v>
      </c>
      <c r="J41" s="1">
        <f t="shared" si="5"/>
        <v>1.3020833333333333E-3</v>
      </c>
      <c r="K41">
        <f t="shared" si="6"/>
        <v>1.6153400000000002E-2</v>
      </c>
    </row>
    <row r="42" spans="1:11" x14ac:dyDescent="0.3">
      <c r="A42" t="s">
        <v>25</v>
      </c>
      <c r="B42">
        <v>8</v>
      </c>
      <c r="C42" t="s">
        <v>7</v>
      </c>
      <c r="D42" t="s">
        <v>26</v>
      </c>
      <c r="E42">
        <f t="shared" si="0"/>
        <v>16</v>
      </c>
      <c r="F42">
        <f t="shared" si="1"/>
        <v>256</v>
      </c>
      <c r="G42">
        <f t="shared" si="2"/>
        <v>1536</v>
      </c>
      <c r="H42">
        <f t="shared" si="3"/>
        <v>2</v>
      </c>
      <c r="I42">
        <f t="shared" si="4"/>
        <v>1534</v>
      </c>
      <c r="J42" s="1">
        <f t="shared" si="5"/>
        <v>1.3020833333333333E-3</v>
      </c>
      <c r="K42">
        <f t="shared" si="6"/>
        <v>1.6153400000000002E-2</v>
      </c>
    </row>
    <row r="43" spans="1:11" x14ac:dyDescent="0.3">
      <c r="A43" t="s">
        <v>25</v>
      </c>
      <c r="B43">
        <v>8</v>
      </c>
      <c r="C43" t="s">
        <v>9</v>
      </c>
      <c r="D43" t="s">
        <v>26</v>
      </c>
      <c r="E43">
        <f t="shared" si="0"/>
        <v>16</v>
      </c>
      <c r="F43">
        <f t="shared" si="1"/>
        <v>256</v>
      </c>
      <c r="G43">
        <f t="shared" si="2"/>
        <v>1536</v>
      </c>
      <c r="H43">
        <f t="shared" si="3"/>
        <v>2</v>
      </c>
      <c r="I43">
        <f t="shared" si="4"/>
        <v>1534</v>
      </c>
      <c r="J43" s="1">
        <f t="shared" si="5"/>
        <v>1.3020833333333333E-3</v>
      </c>
      <c r="K43">
        <f t="shared" si="6"/>
        <v>1.6153400000000002E-2</v>
      </c>
    </row>
    <row r="44" spans="1:11" x14ac:dyDescent="0.3">
      <c r="A44" t="s">
        <v>25</v>
      </c>
      <c r="B44">
        <v>16</v>
      </c>
      <c r="C44" t="s">
        <v>5</v>
      </c>
      <c r="D44" t="s">
        <v>26</v>
      </c>
      <c r="E44">
        <f t="shared" si="0"/>
        <v>16</v>
      </c>
      <c r="F44">
        <f t="shared" si="1"/>
        <v>256</v>
      </c>
      <c r="G44">
        <f t="shared" si="2"/>
        <v>1536</v>
      </c>
      <c r="H44">
        <f t="shared" si="3"/>
        <v>2</v>
      </c>
      <c r="I44">
        <f t="shared" si="4"/>
        <v>1534</v>
      </c>
      <c r="J44" s="1">
        <f t="shared" si="5"/>
        <v>1.3020833333333333E-3</v>
      </c>
      <c r="K44">
        <f t="shared" si="6"/>
        <v>1.6153400000000002E-2</v>
      </c>
    </row>
    <row r="45" spans="1:11" x14ac:dyDescent="0.3">
      <c r="A45" t="s">
        <v>25</v>
      </c>
      <c r="B45">
        <v>16</v>
      </c>
      <c r="C45" t="s">
        <v>7</v>
      </c>
      <c r="D45" t="s">
        <v>26</v>
      </c>
      <c r="E45">
        <f t="shared" si="0"/>
        <v>16</v>
      </c>
      <c r="F45">
        <f t="shared" si="1"/>
        <v>256</v>
      </c>
      <c r="G45">
        <f t="shared" si="2"/>
        <v>1536</v>
      </c>
      <c r="H45">
        <f t="shared" si="3"/>
        <v>2</v>
      </c>
      <c r="I45">
        <f t="shared" si="4"/>
        <v>1534</v>
      </c>
      <c r="J45" s="1">
        <f t="shared" si="5"/>
        <v>1.3020833333333333E-3</v>
      </c>
      <c r="K45">
        <f t="shared" si="6"/>
        <v>1.6153400000000002E-2</v>
      </c>
    </row>
    <row r="46" spans="1:11" x14ac:dyDescent="0.3">
      <c r="A46" t="s">
        <v>25</v>
      </c>
      <c r="B46">
        <v>16</v>
      </c>
      <c r="C46" t="s">
        <v>9</v>
      </c>
      <c r="D46" t="s">
        <v>26</v>
      </c>
      <c r="E46">
        <f t="shared" si="0"/>
        <v>16</v>
      </c>
      <c r="F46">
        <f t="shared" si="1"/>
        <v>256</v>
      </c>
      <c r="G46">
        <f t="shared" si="2"/>
        <v>1536</v>
      </c>
      <c r="H46">
        <f t="shared" si="3"/>
        <v>2</v>
      </c>
      <c r="I46">
        <f t="shared" si="4"/>
        <v>1534</v>
      </c>
      <c r="J46" s="1">
        <f t="shared" si="5"/>
        <v>1.3020833333333333E-3</v>
      </c>
      <c r="K46">
        <f t="shared" si="6"/>
        <v>1.6153400000000002E-2</v>
      </c>
    </row>
    <row r="47" spans="1:11" x14ac:dyDescent="0.3">
      <c r="A47" t="s">
        <v>27</v>
      </c>
      <c r="B47">
        <v>4</v>
      </c>
      <c r="C47" t="s">
        <v>5</v>
      </c>
      <c r="D47" t="s">
        <v>28</v>
      </c>
      <c r="E47">
        <f t="shared" si="0"/>
        <v>16</v>
      </c>
      <c r="F47">
        <f t="shared" si="1"/>
        <v>64</v>
      </c>
      <c r="G47">
        <f t="shared" si="2"/>
        <v>1536</v>
      </c>
      <c r="H47">
        <f t="shared" si="3"/>
        <v>85</v>
      </c>
      <c r="I47">
        <f t="shared" si="4"/>
        <v>1451</v>
      </c>
      <c r="J47" s="1">
        <f t="shared" si="5"/>
        <v>5.5338541666666664E-2</v>
      </c>
      <c r="K47">
        <f t="shared" si="6"/>
        <v>0.68014510000000006</v>
      </c>
    </row>
    <row r="48" spans="1:11" x14ac:dyDescent="0.3">
      <c r="A48" t="s">
        <v>27</v>
      </c>
      <c r="B48">
        <v>4</v>
      </c>
      <c r="C48" t="s">
        <v>7</v>
      </c>
      <c r="D48" t="s">
        <v>29</v>
      </c>
      <c r="E48">
        <f t="shared" si="0"/>
        <v>16</v>
      </c>
      <c r="F48">
        <f t="shared" si="1"/>
        <v>64</v>
      </c>
      <c r="G48">
        <f t="shared" si="2"/>
        <v>1536</v>
      </c>
      <c r="H48">
        <f t="shared" si="3"/>
        <v>69</v>
      </c>
      <c r="I48">
        <f t="shared" si="4"/>
        <v>1467</v>
      </c>
      <c r="J48" s="1">
        <f t="shared" si="5"/>
        <v>4.4921875E-2</v>
      </c>
      <c r="K48">
        <f t="shared" si="6"/>
        <v>0.5521467000000001</v>
      </c>
    </row>
    <row r="49" spans="1:11" x14ac:dyDescent="0.3">
      <c r="A49" t="s">
        <v>27</v>
      </c>
      <c r="B49">
        <v>4</v>
      </c>
      <c r="C49" t="s">
        <v>9</v>
      </c>
      <c r="D49" t="s">
        <v>29</v>
      </c>
      <c r="E49">
        <f t="shared" si="0"/>
        <v>16</v>
      </c>
      <c r="F49">
        <f t="shared" si="1"/>
        <v>64</v>
      </c>
      <c r="G49">
        <f t="shared" si="2"/>
        <v>1536</v>
      </c>
      <c r="H49">
        <f t="shared" si="3"/>
        <v>69</v>
      </c>
      <c r="I49">
        <f t="shared" si="4"/>
        <v>1467</v>
      </c>
      <c r="J49" s="1">
        <f t="shared" si="5"/>
        <v>4.4921875E-2</v>
      </c>
      <c r="K49">
        <f t="shared" si="6"/>
        <v>0.5521467000000001</v>
      </c>
    </row>
    <row r="50" spans="1:11" x14ac:dyDescent="0.3">
      <c r="A50" t="s">
        <v>27</v>
      </c>
      <c r="B50">
        <v>8</v>
      </c>
      <c r="C50" t="s">
        <v>5</v>
      </c>
      <c r="D50" t="s">
        <v>30</v>
      </c>
      <c r="E50">
        <f t="shared" si="0"/>
        <v>16</v>
      </c>
      <c r="F50">
        <f t="shared" si="1"/>
        <v>64</v>
      </c>
      <c r="G50">
        <f t="shared" si="2"/>
        <v>1536</v>
      </c>
      <c r="H50">
        <f t="shared" si="3"/>
        <v>5</v>
      </c>
      <c r="I50">
        <f t="shared" si="4"/>
        <v>1531</v>
      </c>
      <c r="J50" s="1">
        <f t="shared" si="5"/>
        <v>3.2552083333333335E-3</v>
      </c>
      <c r="K50">
        <f t="shared" si="6"/>
        <v>4.0153100000000004E-2</v>
      </c>
    </row>
    <row r="51" spans="1:11" x14ac:dyDescent="0.3">
      <c r="A51" t="s">
        <v>27</v>
      </c>
      <c r="B51">
        <v>8</v>
      </c>
      <c r="C51" t="s">
        <v>7</v>
      </c>
      <c r="D51" t="s">
        <v>30</v>
      </c>
      <c r="E51">
        <f t="shared" si="0"/>
        <v>16</v>
      </c>
      <c r="F51">
        <f t="shared" si="1"/>
        <v>64</v>
      </c>
      <c r="G51">
        <f t="shared" si="2"/>
        <v>1536</v>
      </c>
      <c r="H51">
        <f t="shared" si="3"/>
        <v>5</v>
      </c>
      <c r="I51">
        <f t="shared" si="4"/>
        <v>1531</v>
      </c>
      <c r="J51" s="1">
        <f t="shared" si="5"/>
        <v>3.2552083333333335E-3</v>
      </c>
      <c r="K51">
        <f t="shared" si="6"/>
        <v>4.0153100000000004E-2</v>
      </c>
    </row>
    <row r="52" spans="1:11" x14ac:dyDescent="0.3">
      <c r="A52" t="s">
        <v>27</v>
      </c>
      <c r="B52">
        <v>8</v>
      </c>
      <c r="C52" t="s">
        <v>9</v>
      </c>
      <c r="D52" t="s">
        <v>30</v>
      </c>
      <c r="E52">
        <f t="shared" si="0"/>
        <v>16</v>
      </c>
      <c r="F52">
        <f t="shared" si="1"/>
        <v>64</v>
      </c>
      <c r="G52">
        <f t="shared" si="2"/>
        <v>1536</v>
      </c>
      <c r="H52">
        <f t="shared" si="3"/>
        <v>5</v>
      </c>
      <c r="I52">
        <f t="shared" si="4"/>
        <v>1531</v>
      </c>
      <c r="J52" s="1">
        <f t="shared" si="5"/>
        <v>3.2552083333333335E-3</v>
      </c>
      <c r="K52">
        <f t="shared" si="6"/>
        <v>4.0153100000000004E-2</v>
      </c>
    </row>
    <row r="53" spans="1:11" x14ac:dyDescent="0.3">
      <c r="A53" t="s">
        <v>27</v>
      </c>
      <c r="B53">
        <v>16</v>
      </c>
      <c r="C53" t="s">
        <v>5</v>
      </c>
      <c r="D53" t="s">
        <v>30</v>
      </c>
      <c r="E53">
        <f t="shared" si="0"/>
        <v>16</v>
      </c>
      <c r="F53">
        <f t="shared" si="1"/>
        <v>64</v>
      </c>
      <c r="G53">
        <f t="shared" si="2"/>
        <v>1536</v>
      </c>
      <c r="H53">
        <f t="shared" si="3"/>
        <v>5</v>
      </c>
      <c r="I53">
        <f t="shared" si="4"/>
        <v>1531</v>
      </c>
      <c r="J53" s="1">
        <f t="shared" si="5"/>
        <v>3.2552083333333335E-3</v>
      </c>
      <c r="K53">
        <f t="shared" si="6"/>
        <v>4.0153100000000004E-2</v>
      </c>
    </row>
    <row r="54" spans="1:11" x14ac:dyDescent="0.3">
      <c r="A54" t="s">
        <v>27</v>
      </c>
      <c r="B54">
        <v>16</v>
      </c>
      <c r="C54" t="s">
        <v>7</v>
      </c>
      <c r="D54" t="s">
        <v>30</v>
      </c>
      <c r="E54">
        <f t="shared" si="0"/>
        <v>16</v>
      </c>
      <c r="F54">
        <f t="shared" si="1"/>
        <v>64</v>
      </c>
      <c r="G54">
        <f t="shared" si="2"/>
        <v>1536</v>
      </c>
      <c r="H54">
        <f t="shared" si="3"/>
        <v>5</v>
      </c>
      <c r="I54">
        <f t="shared" si="4"/>
        <v>1531</v>
      </c>
      <c r="J54" s="1">
        <f t="shared" si="5"/>
        <v>3.2552083333333335E-3</v>
      </c>
      <c r="K54">
        <f t="shared" si="6"/>
        <v>4.0153100000000004E-2</v>
      </c>
    </row>
    <row r="55" spans="1:11" x14ac:dyDescent="0.3">
      <c r="A55" t="s">
        <v>27</v>
      </c>
      <c r="B55">
        <v>16</v>
      </c>
      <c r="C55" t="s">
        <v>9</v>
      </c>
      <c r="D55" t="s">
        <v>30</v>
      </c>
      <c r="E55">
        <f t="shared" si="0"/>
        <v>16</v>
      </c>
      <c r="F55">
        <f t="shared" si="1"/>
        <v>64</v>
      </c>
      <c r="G55">
        <f t="shared" si="2"/>
        <v>1536</v>
      </c>
      <c r="H55">
        <f t="shared" si="3"/>
        <v>5</v>
      </c>
      <c r="I55">
        <f t="shared" si="4"/>
        <v>1531</v>
      </c>
      <c r="J55" s="1">
        <f t="shared" si="5"/>
        <v>3.2552083333333335E-3</v>
      </c>
      <c r="K55">
        <f t="shared" si="6"/>
        <v>4.0153100000000004E-2</v>
      </c>
    </row>
    <row r="56" spans="1:11" x14ac:dyDescent="0.3">
      <c r="A56" t="s">
        <v>31</v>
      </c>
      <c r="B56">
        <v>4</v>
      </c>
      <c r="C56" t="s">
        <v>5</v>
      </c>
      <c r="D56" t="s">
        <v>32</v>
      </c>
      <c r="E56">
        <f t="shared" si="0"/>
        <v>8</v>
      </c>
      <c r="F56">
        <f t="shared" si="1"/>
        <v>1024</v>
      </c>
      <c r="G56">
        <f t="shared" si="2"/>
        <v>384</v>
      </c>
      <c r="H56">
        <f t="shared" si="3"/>
        <v>1</v>
      </c>
      <c r="I56">
        <f t="shared" si="4"/>
        <v>383</v>
      </c>
      <c r="J56" s="1">
        <f t="shared" si="5"/>
        <v>2.6041666666666665E-3</v>
      </c>
      <c r="K56">
        <f t="shared" si="6"/>
        <v>8.0383E-3</v>
      </c>
    </row>
    <row r="57" spans="1:11" x14ac:dyDescent="0.3">
      <c r="A57" t="s">
        <v>31</v>
      </c>
      <c r="B57">
        <v>4</v>
      </c>
      <c r="C57" t="s">
        <v>7</v>
      </c>
      <c r="D57" t="s">
        <v>32</v>
      </c>
      <c r="E57">
        <f t="shared" si="0"/>
        <v>8</v>
      </c>
      <c r="F57">
        <f t="shared" si="1"/>
        <v>1024</v>
      </c>
      <c r="G57">
        <f t="shared" si="2"/>
        <v>384</v>
      </c>
      <c r="H57">
        <f t="shared" si="3"/>
        <v>1</v>
      </c>
      <c r="I57">
        <f t="shared" si="4"/>
        <v>383</v>
      </c>
      <c r="J57" s="1">
        <f t="shared" si="5"/>
        <v>2.6041666666666665E-3</v>
      </c>
      <c r="K57">
        <f t="shared" si="6"/>
        <v>8.0383E-3</v>
      </c>
    </row>
    <row r="58" spans="1:11" x14ac:dyDescent="0.3">
      <c r="A58" t="s">
        <v>31</v>
      </c>
      <c r="B58">
        <v>4</v>
      </c>
      <c r="C58" t="s">
        <v>9</v>
      </c>
      <c r="D58" t="s">
        <v>32</v>
      </c>
      <c r="E58">
        <f t="shared" si="0"/>
        <v>8</v>
      </c>
      <c r="F58">
        <f t="shared" si="1"/>
        <v>1024</v>
      </c>
      <c r="G58">
        <f t="shared" si="2"/>
        <v>384</v>
      </c>
      <c r="H58">
        <f t="shared" si="3"/>
        <v>1</v>
      </c>
      <c r="I58">
        <f t="shared" si="4"/>
        <v>383</v>
      </c>
      <c r="J58" s="1">
        <f t="shared" si="5"/>
        <v>2.6041666666666665E-3</v>
      </c>
      <c r="K58">
        <f t="shared" si="6"/>
        <v>8.0383E-3</v>
      </c>
    </row>
    <row r="59" spans="1:11" x14ac:dyDescent="0.3">
      <c r="A59" t="s">
        <v>31</v>
      </c>
      <c r="B59">
        <v>8</v>
      </c>
      <c r="C59" t="s">
        <v>5</v>
      </c>
      <c r="D59" t="s">
        <v>32</v>
      </c>
      <c r="E59">
        <f t="shared" si="0"/>
        <v>8</v>
      </c>
      <c r="F59">
        <f t="shared" si="1"/>
        <v>1024</v>
      </c>
      <c r="G59">
        <f t="shared" si="2"/>
        <v>384</v>
      </c>
      <c r="H59">
        <f t="shared" si="3"/>
        <v>1</v>
      </c>
      <c r="I59">
        <f t="shared" si="4"/>
        <v>383</v>
      </c>
      <c r="J59" s="1">
        <f t="shared" si="5"/>
        <v>2.6041666666666665E-3</v>
      </c>
      <c r="K59">
        <f t="shared" si="6"/>
        <v>8.0383E-3</v>
      </c>
    </row>
    <row r="60" spans="1:11" x14ac:dyDescent="0.3">
      <c r="A60" t="s">
        <v>31</v>
      </c>
      <c r="B60">
        <v>8</v>
      </c>
      <c r="C60" t="s">
        <v>7</v>
      </c>
      <c r="D60" t="s">
        <v>32</v>
      </c>
      <c r="E60">
        <f t="shared" si="0"/>
        <v>8</v>
      </c>
      <c r="F60">
        <f t="shared" si="1"/>
        <v>1024</v>
      </c>
      <c r="G60">
        <f t="shared" si="2"/>
        <v>384</v>
      </c>
      <c r="H60">
        <f t="shared" si="3"/>
        <v>1</v>
      </c>
      <c r="I60">
        <f t="shared" si="4"/>
        <v>383</v>
      </c>
      <c r="J60" s="1">
        <f t="shared" si="5"/>
        <v>2.6041666666666665E-3</v>
      </c>
      <c r="K60">
        <f t="shared" si="6"/>
        <v>8.0383E-3</v>
      </c>
    </row>
    <row r="61" spans="1:11" x14ac:dyDescent="0.3">
      <c r="A61" t="s">
        <v>31</v>
      </c>
      <c r="B61">
        <v>8</v>
      </c>
      <c r="C61" t="s">
        <v>9</v>
      </c>
      <c r="D61" t="s">
        <v>32</v>
      </c>
      <c r="E61">
        <f t="shared" si="0"/>
        <v>8</v>
      </c>
      <c r="F61">
        <f t="shared" si="1"/>
        <v>1024</v>
      </c>
      <c r="G61">
        <f t="shared" si="2"/>
        <v>384</v>
      </c>
      <c r="H61">
        <f t="shared" si="3"/>
        <v>1</v>
      </c>
      <c r="I61">
        <f t="shared" si="4"/>
        <v>383</v>
      </c>
      <c r="J61" s="1">
        <f t="shared" si="5"/>
        <v>2.6041666666666665E-3</v>
      </c>
      <c r="K61">
        <f t="shared" si="6"/>
        <v>8.0383E-3</v>
      </c>
    </row>
    <row r="62" spans="1:11" x14ac:dyDescent="0.3">
      <c r="A62" t="s">
        <v>31</v>
      </c>
      <c r="B62">
        <v>16</v>
      </c>
      <c r="C62" t="s">
        <v>5</v>
      </c>
      <c r="D62" t="s">
        <v>32</v>
      </c>
      <c r="E62">
        <f t="shared" si="0"/>
        <v>8</v>
      </c>
      <c r="F62">
        <f t="shared" si="1"/>
        <v>1024</v>
      </c>
      <c r="G62">
        <f t="shared" si="2"/>
        <v>384</v>
      </c>
      <c r="H62">
        <f t="shared" si="3"/>
        <v>1</v>
      </c>
      <c r="I62">
        <f t="shared" si="4"/>
        <v>383</v>
      </c>
      <c r="J62" s="1">
        <f t="shared" si="5"/>
        <v>2.6041666666666665E-3</v>
      </c>
      <c r="K62">
        <f t="shared" si="6"/>
        <v>8.0383E-3</v>
      </c>
    </row>
    <row r="63" spans="1:11" x14ac:dyDescent="0.3">
      <c r="A63" t="s">
        <v>31</v>
      </c>
      <c r="B63">
        <v>16</v>
      </c>
      <c r="C63" t="s">
        <v>7</v>
      </c>
      <c r="D63" t="s">
        <v>32</v>
      </c>
      <c r="E63">
        <f t="shared" si="0"/>
        <v>8</v>
      </c>
      <c r="F63">
        <f t="shared" si="1"/>
        <v>1024</v>
      </c>
      <c r="G63">
        <f t="shared" si="2"/>
        <v>384</v>
      </c>
      <c r="H63">
        <f t="shared" si="3"/>
        <v>1</v>
      </c>
      <c r="I63">
        <f t="shared" si="4"/>
        <v>383</v>
      </c>
      <c r="J63" s="1">
        <f t="shared" si="5"/>
        <v>2.6041666666666665E-3</v>
      </c>
      <c r="K63">
        <f t="shared" si="6"/>
        <v>8.0383E-3</v>
      </c>
    </row>
    <row r="64" spans="1:11" x14ac:dyDescent="0.3">
      <c r="A64" t="s">
        <v>31</v>
      </c>
      <c r="B64">
        <v>16</v>
      </c>
      <c r="C64" t="s">
        <v>9</v>
      </c>
      <c r="D64" t="s">
        <v>32</v>
      </c>
      <c r="E64">
        <f t="shared" si="0"/>
        <v>8</v>
      </c>
      <c r="F64">
        <f t="shared" si="1"/>
        <v>1024</v>
      </c>
      <c r="G64">
        <f t="shared" si="2"/>
        <v>384</v>
      </c>
      <c r="H64">
        <f t="shared" si="3"/>
        <v>1</v>
      </c>
      <c r="I64">
        <f t="shared" si="4"/>
        <v>383</v>
      </c>
      <c r="J64" s="1">
        <f t="shared" si="5"/>
        <v>2.6041666666666665E-3</v>
      </c>
      <c r="K64">
        <f t="shared" si="6"/>
        <v>8.0383E-3</v>
      </c>
    </row>
    <row r="65" spans="1:11" x14ac:dyDescent="0.3">
      <c r="A65" t="s">
        <v>33</v>
      </c>
      <c r="B65">
        <v>4</v>
      </c>
      <c r="C65" t="s">
        <v>5</v>
      </c>
      <c r="D65" t="s">
        <v>32</v>
      </c>
      <c r="E65">
        <f t="shared" si="0"/>
        <v>8</v>
      </c>
      <c r="F65">
        <f t="shared" si="1"/>
        <v>256</v>
      </c>
      <c r="G65">
        <f t="shared" si="2"/>
        <v>384</v>
      </c>
      <c r="H65">
        <f t="shared" si="3"/>
        <v>1</v>
      </c>
      <c r="I65">
        <f t="shared" si="4"/>
        <v>383</v>
      </c>
      <c r="J65" s="1">
        <f t="shared" si="5"/>
        <v>2.6041666666666665E-3</v>
      </c>
      <c r="K65">
        <f t="shared" si="6"/>
        <v>8.0383E-3</v>
      </c>
    </row>
    <row r="66" spans="1:11" x14ac:dyDescent="0.3">
      <c r="A66" t="s">
        <v>33</v>
      </c>
      <c r="B66">
        <v>4</v>
      </c>
      <c r="C66" t="s">
        <v>7</v>
      </c>
      <c r="D66" t="s">
        <v>32</v>
      </c>
      <c r="E66">
        <f t="shared" si="0"/>
        <v>8</v>
      </c>
      <c r="F66">
        <f t="shared" si="1"/>
        <v>256</v>
      </c>
      <c r="G66">
        <f t="shared" si="2"/>
        <v>384</v>
      </c>
      <c r="H66">
        <f t="shared" si="3"/>
        <v>1</v>
      </c>
      <c r="I66">
        <f t="shared" si="4"/>
        <v>383</v>
      </c>
      <c r="J66" s="1">
        <f t="shared" si="5"/>
        <v>2.6041666666666665E-3</v>
      </c>
      <c r="K66">
        <f t="shared" si="6"/>
        <v>8.0383E-3</v>
      </c>
    </row>
    <row r="67" spans="1:11" x14ac:dyDescent="0.3">
      <c r="A67" t="s">
        <v>33</v>
      </c>
      <c r="B67">
        <v>4</v>
      </c>
      <c r="C67" t="s">
        <v>9</v>
      </c>
      <c r="D67" t="s">
        <v>32</v>
      </c>
      <c r="E67">
        <f t="shared" ref="E67:E82" si="13">VALUE(MID(A67,5,SEARCH("_",A67,5)-5))</f>
        <v>8</v>
      </c>
      <c r="F67">
        <f t="shared" ref="F67:F82" si="14">VALUE(MID(A67,SEARCH("_",A67,5)+1,10))</f>
        <v>256</v>
      </c>
      <c r="G67">
        <f t="shared" ref="G67:G82" si="15">6*E67^2</f>
        <v>384</v>
      </c>
      <c r="H67">
        <f t="shared" ref="H67:H82" si="16">VALUE(MID(D67,SEARCH("fallos",D67)+7,20))</f>
        <v>1</v>
      </c>
      <c r="I67">
        <f t="shared" ref="I67:I82" si="17">G67-H67</f>
        <v>383</v>
      </c>
      <c r="J67" s="1">
        <f t="shared" ref="J67:J82" si="18">H67/G67</f>
        <v>2.6041666666666665E-3</v>
      </c>
      <c r="K67">
        <f t="shared" ref="K67:K82" si="19">I67*0.0000001+H67*0.008</f>
        <v>8.0383E-3</v>
      </c>
    </row>
    <row r="68" spans="1:11" x14ac:dyDescent="0.3">
      <c r="A68" t="s">
        <v>33</v>
      </c>
      <c r="B68">
        <v>8</v>
      </c>
      <c r="C68" t="s">
        <v>5</v>
      </c>
      <c r="D68" t="s">
        <v>32</v>
      </c>
      <c r="E68">
        <f t="shared" si="13"/>
        <v>8</v>
      </c>
      <c r="F68">
        <f t="shared" si="14"/>
        <v>256</v>
      </c>
      <c r="G68">
        <f t="shared" si="15"/>
        <v>384</v>
      </c>
      <c r="H68">
        <f t="shared" si="16"/>
        <v>1</v>
      </c>
      <c r="I68">
        <f t="shared" si="17"/>
        <v>383</v>
      </c>
      <c r="J68" s="1">
        <f t="shared" si="18"/>
        <v>2.6041666666666665E-3</v>
      </c>
      <c r="K68">
        <f t="shared" si="19"/>
        <v>8.0383E-3</v>
      </c>
    </row>
    <row r="69" spans="1:11" x14ac:dyDescent="0.3">
      <c r="A69" t="s">
        <v>33</v>
      </c>
      <c r="B69">
        <v>8</v>
      </c>
      <c r="C69" t="s">
        <v>7</v>
      </c>
      <c r="D69" t="s">
        <v>32</v>
      </c>
      <c r="E69">
        <f t="shared" si="13"/>
        <v>8</v>
      </c>
      <c r="F69">
        <f t="shared" si="14"/>
        <v>256</v>
      </c>
      <c r="G69">
        <f t="shared" si="15"/>
        <v>384</v>
      </c>
      <c r="H69">
        <f t="shared" si="16"/>
        <v>1</v>
      </c>
      <c r="I69">
        <f t="shared" si="17"/>
        <v>383</v>
      </c>
      <c r="J69" s="1">
        <f t="shared" si="18"/>
        <v>2.6041666666666665E-3</v>
      </c>
      <c r="K69">
        <f t="shared" si="19"/>
        <v>8.0383E-3</v>
      </c>
    </row>
    <row r="70" spans="1:11" x14ac:dyDescent="0.3">
      <c r="A70" t="s">
        <v>33</v>
      </c>
      <c r="B70">
        <v>8</v>
      </c>
      <c r="C70" t="s">
        <v>9</v>
      </c>
      <c r="D70" t="s">
        <v>32</v>
      </c>
      <c r="E70">
        <f t="shared" si="13"/>
        <v>8</v>
      </c>
      <c r="F70">
        <f t="shared" si="14"/>
        <v>256</v>
      </c>
      <c r="G70">
        <f t="shared" si="15"/>
        <v>384</v>
      </c>
      <c r="H70">
        <f t="shared" si="16"/>
        <v>1</v>
      </c>
      <c r="I70">
        <f t="shared" si="17"/>
        <v>383</v>
      </c>
      <c r="J70" s="1">
        <f t="shared" si="18"/>
        <v>2.6041666666666665E-3</v>
      </c>
      <c r="K70">
        <f t="shared" si="19"/>
        <v>8.0383E-3</v>
      </c>
    </row>
    <row r="71" spans="1:11" x14ac:dyDescent="0.3">
      <c r="A71" t="s">
        <v>33</v>
      </c>
      <c r="B71">
        <v>16</v>
      </c>
      <c r="C71" t="s">
        <v>5</v>
      </c>
      <c r="D71" t="s">
        <v>32</v>
      </c>
      <c r="E71">
        <f t="shared" si="13"/>
        <v>8</v>
      </c>
      <c r="F71">
        <f t="shared" si="14"/>
        <v>256</v>
      </c>
      <c r="G71">
        <f t="shared" si="15"/>
        <v>384</v>
      </c>
      <c r="H71">
        <f t="shared" si="16"/>
        <v>1</v>
      </c>
      <c r="I71">
        <f t="shared" si="17"/>
        <v>383</v>
      </c>
      <c r="J71" s="1">
        <f t="shared" si="18"/>
        <v>2.6041666666666665E-3</v>
      </c>
      <c r="K71">
        <f t="shared" si="19"/>
        <v>8.0383E-3</v>
      </c>
    </row>
    <row r="72" spans="1:11" x14ac:dyDescent="0.3">
      <c r="A72" t="s">
        <v>33</v>
      </c>
      <c r="B72">
        <v>16</v>
      </c>
      <c r="C72" t="s">
        <v>7</v>
      </c>
      <c r="D72" t="s">
        <v>32</v>
      </c>
      <c r="E72">
        <f t="shared" si="13"/>
        <v>8</v>
      </c>
      <c r="F72">
        <f t="shared" si="14"/>
        <v>256</v>
      </c>
      <c r="G72">
        <f t="shared" si="15"/>
        <v>384</v>
      </c>
      <c r="H72">
        <f t="shared" si="16"/>
        <v>1</v>
      </c>
      <c r="I72">
        <f t="shared" si="17"/>
        <v>383</v>
      </c>
      <c r="J72" s="1">
        <f t="shared" si="18"/>
        <v>2.6041666666666665E-3</v>
      </c>
      <c r="K72">
        <f t="shared" si="19"/>
        <v>8.0383E-3</v>
      </c>
    </row>
    <row r="73" spans="1:11" x14ac:dyDescent="0.3">
      <c r="A73" t="s">
        <v>33</v>
      </c>
      <c r="B73">
        <v>16</v>
      </c>
      <c r="C73" t="s">
        <v>9</v>
      </c>
      <c r="D73" t="s">
        <v>32</v>
      </c>
      <c r="E73">
        <f t="shared" si="13"/>
        <v>8</v>
      </c>
      <c r="F73">
        <f t="shared" si="14"/>
        <v>256</v>
      </c>
      <c r="G73">
        <f t="shared" si="15"/>
        <v>384</v>
      </c>
      <c r="H73">
        <f t="shared" si="16"/>
        <v>1</v>
      </c>
      <c r="I73">
        <f t="shared" si="17"/>
        <v>383</v>
      </c>
      <c r="J73" s="1">
        <f t="shared" si="18"/>
        <v>2.6041666666666665E-3</v>
      </c>
      <c r="K73">
        <f t="shared" si="19"/>
        <v>8.0383E-3</v>
      </c>
    </row>
    <row r="74" spans="1:11" x14ac:dyDescent="0.3">
      <c r="A74" t="s">
        <v>34</v>
      </c>
      <c r="B74">
        <v>4</v>
      </c>
      <c r="C74" t="s">
        <v>5</v>
      </c>
      <c r="D74" t="s">
        <v>35</v>
      </c>
      <c r="E74">
        <f t="shared" si="13"/>
        <v>8</v>
      </c>
      <c r="F74">
        <f t="shared" si="14"/>
        <v>64</v>
      </c>
      <c r="G74">
        <f t="shared" si="15"/>
        <v>384</v>
      </c>
      <c r="H74">
        <f t="shared" si="16"/>
        <v>2</v>
      </c>
      <c r="I74">
        <f t="shared" si="17"/>
        <v>382</v>
      </c>
      <c r="J74" s="1">
        <f t="shared" si="18"/>
        <v>5.208333333333333E-3</v>
      </c>
      <c r="K74">
        <f t="shared" si="19"/>
        <v>1.6038199999999999E-2</v>
      </c>
    </row>
    <row r="75" spans="1:11" x14ac:dyDescent="0.3">
      <c r="A75" t="s">
        <v>34</v>
      </c>
      <c r="B75">
        <v>4</v>
      </c>
      <c r="C75" t="s">
        <v>7</v>
      </c>
      <c r="D75" t="s">
        <v>35</v>
      </c>
      <c r="E75">
        <f t="shared" si="13"/>
        <v>8</v>
      </c>
      <c r="F75">
        <f t="shared" si="14"/>
        <v>64</v>
      </c>
      <c r="G75">
        <f t="shared" si="15"/>
        <v>384</v>
      </c>
      <c r="H75">
        <f t="shared" si="16"/>
        <v>2</v>
      </c>
      <c r="I75">
        <f t="shared" si="17"/>
        <v>382</v>
      </c>
      <c r="J75" s="1">
        <f t="shared" si="18"/>
        <v>5.208333333333333E-3</v>
      </c>
      <c r="K75">
        <f t="shared" si="19"/>
        <v>1.6038199999999999E-2</v>
      </c>
    </row>
    <row r="76" spans="1:11" x14ac:dyDescent="0.3">
      <c r="A76" t="s">
        <v>34</v>
      </c>
      <c r="B76">
        <v>4</v>
      </c>
      <c r="C76" t="s">
        <v>9</v>
      </c>
      <c r="D76" t="s">
        <v>35</v>
      </c>
      <c r="E76">
        <f t="shared" si="13"/>
        <v>8</v>
      </c>
      <c r="F76">
        <f t="shared" si="14"/>
        <v>64</v>
      </c>
      <c r="G76">
        <f t="shared" si="15"/>
        <v>384</v>
      </c>
      <c r="H76">
        <f t="shared" si="16"/>
        <v>2</v>
      </c>
      <c r="I76">
        <f t="shared" si="17"/>
        <v>382</v>
      </c>
      <c r="J76" s="1">
        <f t="shared" si="18"/>
        <v>5.208333333333333E-3</v>
      </c>
      <c r="K76">
        <f t="shared" si="19"/>
        <v>1.6038199999999999E-2</v>
      </c>
    </row>
    <row r="77" spans="1:11" x14ac:dyDescent="0.3">
      <c r="A77" t="s">
        <v>34</v>
      </c>
      <c r="B77">
        <v>8</v>
      </c>
      <c r="C77" t="s">
        <v>5</v>
      </c>
      <c r="D77" t="s">
        <v>35</v>
      </c>
      <c r="E77">
        <f t="shared" si="13"/>
        <v>8</v>
      </c>
      <c r="F77">
        <f t="shared" si="14"/>
        <v>64</v>
      </c>
      <c r="G77">
        <f t="shared" si="15"/>
        <v>384</v>
      </c>
      <c r="H77">
        <f t="shared" si="16"/>
        <v>2</v>
      </c>
      <c r="I77">
        <f t="shared" si="17"/>
        <v>382</v>
      </c>
      <c r="J77" s="1">
        <f t="shared" si="18"/>
        <v>5.208333333333333E-3</v>
      </c>
      <c r="K77">
        <f t="shared" si="19"/>
        <v>1.6038199999999999E-2</v>
      </c>
    </row>
    <row r="78" spans="1:11" x14ac:dyDescent="0.3">
      <c r="A78" t="s">
        <v>34</v>
      </c>
      <c r="B78">
        <v>8</v>
      </c>
      <c r="C78" t="s">
        <v>7</v>
      </c>
      <c r="D78" t="s">
        <v>35</v>
      </c>
      <c r="E78">
        <f t="shared" si="13"/>
        <v>8</v>
      </c>
      <c r="F78">
        <f t="shared" si="14"/>
        <v>64</v>
      </c>
      <c r="G78">
        <f t="shared" si="15"/>
        <v>384</v>
      </c>
      <c r="H78">
        <f t="shared" si="16"/>
        <v>2</v>
      </c>
      <c r="I78">
        <f t="shared" si="17"/>
        <v>382</v>
      </c>
      <c r="J78" s="1">
        <f t="shared" si="18"/>
        <v>5.208333333333333E-3</v>
      </c>
      <c r="K78">
        <f t="shared" si="19"/>
        <v>1.6038199999999999E-2</v>
      </c>
    </row>
    <row r="79" spans="1:11" x14ac:dyDescent="0.3">
      <c r="A79" t="s">
        <v>34</v>
      </c>
      <c r="B79">
        <v>8</v>
      </c>
      <c r="C79" t="s">
        <v>9</v>
      </c>
      <c r="D79" t="s">
        <v>35</v>
      </c>
      <c r="E79">
        <f t="shared" si="13"/>
        <v>8</v>
      </c>
      <c r="F79">
        <f t="shared" si="14"/>
        <v>64</v>
      </c>
      <c r="G79">
        <f t="shared" si="15"/>
        <v>384</v>
      </c>
      <c r="H79">
        <f t="shared" si="16"/>
        <v>2</v>
      </c>
      <c r="I79">
        <f t="shared" si="17"/>
        <v>382</v>
      </c>
      <c r="J79" s="1">
        <f t="shared" si="18"/>
        <v>5.208333333333333E-3</v>
      </c>
      <c r="K79">
        <f t="shared" si="19"/>
        <v>1.6038199999999999E-2</v>
      </c>
    </row>
    <row r="80" spans="1:11" x14ac:dyDescent="0.3">
      <c r="A80" t="s">
        <v>34</v>
      </c>
      <c r="B80">
        <v>16</v>
      </c>
      <c r="C80" t="s">
        <v>5</v>
      </c>
      <c r="D80" t="s">
        <v>35</v>
      </c>
      <c r="E80">
        <f t="shared" si="13"/>
        <v>8</v>
      </c>
      <c r="F80">
        <f t="shared" si="14"/>
        <v>64</v>
      </c>
      <c r="G80">
        <f t="shared" si="15"/>
        <v>384</v>
      </c>
      <c r="H80">
        <f t="shared" si="16"/>
        <v>2</v>
      </c>
      <c r="I80">
        <f t="shared" si="17"/>
        <v>382</v>
      </c>
      <c r="J80" s="1">
        <f t="shared" si="18"/>
        <v>5.208333333333333E-3</v>
      </c>
      <c r="K80">
        <f t="shared" si="19"/>
        <v>1.6038199999999999E-2</v>
      </c>
    </row>
    <row r="81" spans="1:11" x14ac:dyDescent="0.3">
      <c r="A81" t="s">
        <v>34</v>
      </c>
      <c r="B81">
        <v>16</v>
      </c>
      <c r="C81" t="s">
        <v>7</v>
      </c>
      <c r="D81" t="s">
        <v>35</v>
      </c>
      <c r="E81">
        <f t="shared" si="13"/>
        <v>8</v>
      </c>
      <c r="F81">
        <f t="shared" si="14"/>
        <v>64</v>
      </c>
      <c r="G81">
        <f t="shared" si="15"/>
        <v>384</v>
      </c>
      <c r="H81">
        <f t="shared" si="16"/>
        <v>2</v>
      </c>
      <c r="I81">
        <f t="shared" si="17"/>
        <v>382</v>
      </c>
      <c r="J81" s="1">
        <f t="shared" si="18"/>
        <v>5.208333333333333E-3</v>
      </c>
      <c r="K81">
        <f t="shared" si="19"/>
        <v>1.6038199999999999E-2</v>
      </c>
    </row>
    <row r="82" spans="1:11" x14ac:dyDescent="0.3">
      <c r="A82" t="s">
        <v>34</v>
      </c>
      <c r="B82">
        <v>16</v>
      </c>
      <c r="C82" t="s">
        <v>9</v>
      </c>
      <c r="D82" t="s">
        <v>35</v>
      </c>
      <c r="E82">
        <f t="shared" si="13"/>
        <v>8</v>
      </c>
      <c r="F82">
        <f t="shared" si="14"/>
        <v>64</v>
      </c>
      <c r="G82">
        <f t="shared" si="15"/>
        <v>384</v>
      </c>
      <c r="H82">
        <f t="shared" si="16"/>
        <v>2</v>
      </c>
      <c r="I82">
        <f t="shared" si="17"/>
        <v>382</v>
      </c>
      <c r="J82" s="1">
        <f t="shared" si="18"/>
        <v>5.208333333333333E-3</v>
      </c>
      <c r="K82">
        <f t="shared" si="19"/>
        <v>1.6038199999999999E-2</v>
      </c>
    </row>
  </sheetData>
  <mergeCells count="1">
    <mergeCell ref="M1:P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2ACAF-E06E-485A-9BDF-B1C3B669CBE0}">
  <dimension ref="A1:D5"/>
  <sheetViews>
    <sheetView workbookViewId="0">
      <selection sqref="A1:D5"/>
    </sheetView>
  </sheetViews>
  <sheetFormatPr baseColWidth="10" defaultRowHeight="14.4" x14ac:dyDescent="0.3"/>
  <sheetData>
    <row r="1" spans="1:4" x14ac:dyDescent="0.3">
      <c r="A1" t="s">
        <v>36</v>
      </c>
      <c r="B1">
        <v>8</v>
      </c>
      <c r="C1" t="s">
        <v>37</v>
      </c>
      <c r="D1">
        <v>64</v>
      </c>
    </row>
    <row r="2" spans="1:4" x14ac:dyDescent="0.3">
      <c r="B2" t="s">
        <v>5</v>
      </c>
      <c r="C2" t="s">
        <v>7</v>
      </c>
      <c r="D2" t="s">
        <v>9</v>
      </c>
    </row>
    <row r="3" spans="1:4" x14ac:dyDescent="0.3">
      <c r="A3">
        <v>4</v>
      </c>
      <c r="B3">
        <f>SUMIFS(Datos!$H:$H,Datos!$E:$E,$B$1,Datos!$F:$F,$D$1,Datos!$B:$B,$A3,Datos!$C:$C,B$2)</f>
        <v>2</v>
      </c>
      <c r="C3">
        <f>SUMIFS(Datos!$H:$H,Datos!$E:$E,$B$1,Datos!$F:$F,$D$1,Datos!$B:$B,$A3,Datos!$C:$C,C$2)</f>
        <v>2</v>
      </c>
      <c r="D3">
        <f>SUMIFS(Datos!$H:$H,Datos!$E:$E,$B$1,Datos!$F:$F,$D$1,Datos!$B:$B,$A3,Datos!$C:$C,D$2)</f>
        <v>2</v>
      </c>
    </row>
    <row r="4" spans="1:4" x14ac:dyDescent="0.3">
      <c r="A4">
        <v>8</v>
      </c>
      <c r="B4">
        <f>SUMIFS(Datos!$H:$H,Datos!$E:$E,$B$1,Datos!$F:$F,$D$1,Datos!$B:$B,$A4,Datos!$C:$C,B$2)</f>
        <v>2</v>
      </c>
      <c r="C4">
        <f>SUMIFS(Datos!$H:$H,Datos!$E:$E,$B$1,Datos!$F:$F,$D$1,Datos!$B:$B,$A4,Datos!$C:$C,C$2)</f>
        <v>2</v>
      </c>
      <c r="D4">
        <f>SUMIFS(Datos!$H:$H,Datos!$E:$E,$B$1,Datos!$F:$F,$D$1,Datos!$B:$B,$A4,Datos!$C:$C,D$2)</f>
        <v>2</v>
      </c>
    </row>
    <row r="5" spans="1:4" x14ac:dyDescent="0.3">
      <c r="A5">
        <v>16</v>
      </c>
      <c r="B5">
        <f>SUMIFS(Datos!$H:$H,Datos!$E:$E,$B$1,Datos!$F:$F,$D$1,Datos!$B:$B,$A5,Datos!$C:$C,B$2)</f>
        <v>2</v>
      </c>
      <c r="C5">
        <f>SUMIFS(Datos!$H:$H,Datos!$E:$E,$B$1,Datos!$F:$F,$D$1,Datos!$B:$B,$A5,Datos!$C:$C,C$2)</f>
        <v>2</v>
      </c>
      <c r="D5">
        <f>SUMIFS(Datos!$H:$H,Datos!$E:$E,$B$1,Datos!$F:$F,$D$1,Datos!$B:$B,$A5,Datos!$C:$C,D$2)</f>
        <v>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046FB-422C-4D03-904E-7A92006B4233}">
  <dimension ref="A1:D5"/>
  <sheetViews>
    <sheetView workbookViewId="0">
      <selection sqref="A1:D5"/>
    </sheetView>
  </sheetViews>
  <sheetFormatPr baseColWidth="10" defaultRowHeight="14.4" x14ac:dyDescent="0.3"/>
  <sheetData>
    <row r="1" spans="1:4" x14ac:dyDescent="0.3">
      <c r="A1" t="s">
        <v>36</v>
      </c>
      <c r="B1">
        <v>8</v>
      </c>
      <c r="C1" t="s">
        <v>37</v>
      </c>
      <c r="D1">
        <v>256</v>
      </c>
    </row>
    <row r="2" spans="1:4" x14ac:dyDescent="0.3">
      <c r="B2" t="s">
        <v>5</v>
      </c>
      <c r="C2" t="s">
        <v>7</v>
      </c>
      <c r="D2" t="s">
        <v>9</v>
      </c>
    </row>
    <row r="3" spans="1:4" x14ac:dyDescent="0.3">
      <c r="A3">
        <v>4</v>
      </c>
      <c r="B3">
        <f>SUMIFS(Datos!$H:$H,Datos!$E:$E,$B$1,Datos!$F:$F,$D$1,Datos!$B:$B,$A3,Datos!$C:$C,B$2)</f>
        <v>1</v>
      </c>
      <c r="C3">
        <f>SUMIFS(Datos!$H:$H,Datos!$E:$E,$B$1,Datos!$F:$F,$D$1,Datos!$B:$B,$A3,Datos!$C:$C,C$2)</f>
        <v>1</v>
      </c>
      <c r="D3">
        <f>SUMIFS(Datos!$H:$H,Datos!$E:$E,$B$1,Datos!$F:$F,$D$1,Datos!$B:$B,$A3,Datos!$C:$C,D$2)</f>
        <v>1</v>
      </c>
    </row>
    <row r="4" spans="1:4" x14ac:dyDescent="0.3">
      <c r="A4">
        <v>8</v>
      </c>
      <c r="B4">
        <f>SUMIFS(Datos!$H:$H,Datos!$E:$E,$B$1,Datos!$F:$F,$D$1,Datos!$B:$B,$A4,Datos!$C:$C,B$2)</f>
        <v>1</v>
      </c>
      <c r="C4">
        <f>SUMIFS(Datos!$H:$H,Datos!$E:$E,$B$1,Datos!$F:$F,$D$1,Datos!$B:$B,$A4,Datos!$C:$C,C$2)</f>
        <v>1</v>
      </c>
      <c r="D4">
        <f>SUMIFS(Datos!$H:$H,Datos!$E:$E,$B$1,Datos!$F:$F,$D$1,Datos!$B:$B,$A4,Datos!$C:$C,D$2)</f>
        <v>1</v>
      </c>
    </row>
    <row r="5" spans="1:4" x14ac:dyDescent="0.3">
      <c r="A5">
        <v>16</v>
      </c>
      <c r="B5">
        <f>SUMIFS(Datos!$H:$H,Datos!$E:$E,$B$1,Datos!$F:$F,$D$1,Datos!$B:$B,$A5,Datos!$C:$C,B$2)</f>
        <v>1</v>
      </c>
      <c r="C5">
        <f>SUMIFS(Datos!$H:$H,Datos!$E:$E,$B$1,Datos!$F:$F,$D$1,Datos!$B:$B,$A5,Datos!$C:$C,C$2)</f>
        <v>1</v>
      </c>
      <c r="D5">
        <f>SUMIFS(Datos!$H:$H,Datos!$E:$E,$B$1,Datos!$F:$F,$D$1,Datos!$B:$B,$A5,Datos!$C:$C,D$2)</f>
        <v>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C53B1-1F1C-4EF0-988C-DBF0EA0F8584}">
  <dimension ref="A1:D5"/>
  <sheetViews>
    <sheetView workbookViewId="0">
      <selection sqref="A1:D5"/>
    </sheetView>
  </sheetViews>
  <sheetFormatPr baseColWidth="10" defaultRowHeight="14.4" x14ac:dyDescent="0.3"/>
  <sheetData>
    <row r="1" spans="1:4" x14ac:dyDescent="0.3">
      <c r="A1" t="s">
        <v>36</v>
      </c>
      <c r="B1">
        <v>8</v>
      </c>
      <c r="C1" t="s">
        <v>37</v>
      </c>
      <c r="D1">
        <v>1024</v>
      </c>
    </row>
    <row r="2" spans="1:4" x14ac:dyDescent="0.3">
      <c r="B2" t="s">
        <v>5</v>
      </c>
      <c r="C2" t="s">
        <v>7</v>
      </c>
      <c r="D2" t="s">
        <v>9</v>
      </c>
    </row>
    <row r="3" spans="1:4" x14ac:dyDescent="0.3">
      <c r="A3">
        <v>4</v>
      </c>
      <c r="B3">
        <f>SUMIFS(Datos!$H:$H,Datos!$E:$E,$B$1,Datos!$F:$F,$D$1,Datos!$B:$B,$A3,Datos!$C:$C,B$2)</f>
        <v>1</v>
      </c>
      <c r="C3">
        <f>SUMIFS(Datos!$H:$H,Datos!$E:$E,$B$1,Datos!$F:$F,$D$1,Datos!$B:$B,$A3,Datos!$C:$C,C$2)</f>
        <v>1</v>
      </c>
      <c r="D3">
        <f>SUMIFS(Datos!$H:$H,Datos!$E:$E,$B$1,Datos!$F:$F,$D$1,Datos!$B:$B,$A3,Datos!$C:$C,D$2)</f>
        <v>1</v>
      </c>
    </row>
    <row r="4" spans="1:4" x14ac:dyDescent="0.3">
      <c r="A4">
        <v>8</v>
      </c>
      <c r="B4">
        <f>SUMIFS(Datos!$H:$H,Datos!$E:$E,$B$1,Datos!$F:$F,$D$1,Datos!$B:$B,$A4,Datos!$C:$C,B$2)</f>
        <v>1</v>
      </c>
      <c r="C4">
        <f>SUMIFS(Datos!$H:$H,Datos!$E:$E,$B$1,Datos!$F:$F,$D$1,Datos!$B:$B,$A4,Datos!$C:$C,C$2)</f>
        <v>1</v>
      </c>
      <c r="D4">
        <f>SUMIFS(Datos!$H:$H,Datos!$E:$E,$B$1,Datos!$F:$F,$D$1,Datos!$B:$B,$A4,Datos!$C:$C,D$2)</f>
        <v>1</v>
      </c>
    </row>
    <row r="5" spans="1:4" x14ac:dyDescent="0.3">
      <c r="A5">
        <v>16</v>
      </c>
      <c r="B5">
        <f>SUMIFS(Datos!$H:$H,Datos!$E:$E,$B$1,Datos!$F:$F,$D$1,Datos!$B:$B,$A5,Datos!$C:$C,B$2)</f>
        <v>1</v>
      </c>
      <c r="C5">
        <f>SUMIFS(Datos!$H:$H,Datos!$E:$E,$B$1,Datos!$F:$F,$D$1,Datos!$B:$B,$A5,Datos!$C:$C,C$2)</f>
        <v>1</v>
      </c>
      <c r="D5">
        <f>SUMIFS(Datos!$H:$H,Datos!$E:$E,$B$1,Datos!$F:$F,$D$1,Datos!$B:$B,$A5,Datos!$C:$C,D$2)</f>
        <v>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232DA-EFC3-4B23-9D90-9407B6678FFB}">
  <dimension ref="A1:D6"/>
  <sheetViews>
    <sheetView workbookViewId="0">
      <selection sqref="A1:D5"/>
    </sheetView>
  </sheetViews>
  <sheetFormatPr baseColWidth="10" defaultRowHeight="14.4" x14ac:dyDescent="0.3"/>
  <sheetData>
    <row r="1" spans="1:4" x14ac:dyDescent="0.3">
      <c r="A1" t="s">
        <v>36</v>
      </c>
      <c r="B1">
        <v>16</v>
      </c>
      <c r="C1" t="s">
        <v>37</v>
      </c>
      <c r="D1">
        <v>64</v>
      </c>
    </row>
    <row r="2" spans="1:4" x14ac:dyDescent="0.3">
      <c r="B2" t="s">
        <v>5</v>
      </c>
      <c r="C2" t="s">
        <v>7</v>
      </c>
      <c r="D2" t="s">
        <v>9</v>
      </c>
    </row>
    <row r="3" spans="1:4" x14ac:dyDescent="0.3">
      <c r="A3">
        <v>4</v>
      </c>
      <c r="B3">
        <f>SUMIFS(Datos!$H:$H,Datos!$E:$E,$B$1,Datos!$F:$F,$D$1,Datos!$B:$B,$A3,Datos!$C:$C,B$2)</f>
        <v>85</v>
      </c>
      <c r="C3">
        <f>SUMIFS(Datos!$H:$H,Datos!$E:$E,$B$1,Datos!$F:$F,$D$1,Datos!$B:$B,$A3,Datos!$C:$C,C$2)</f>
        <v>69</v>
      </c>
      <c r="D3">
        <f>SUMIFS(Datos!$H:$H,Datos!$E:$E,$B$1,Datos!$F:$F,$D$1,Datos!$B:$B,$A3,Datos!$C:$C,D$2)</f>
        <v>69</v>
      </c>
    </row>
    <row r="4" spans="1:4" x14ac:dyDescent="0.3">
      <c r="A4">
        <v>8</v>
      </c>
      <c r="B4">
        <f>SUMIFS(Datos!$H:$H,Datos!$E:$E,$B$1,Datos!$F:$F,$D$1,Datos!$B:$B,$A4,Datos!$C:$C,B$2)</f>
        <v>5</v>
      </c>
      <c r="C4">
        <f>SUMIFS(Datos!$H:$H,Datos!$E:$E,$B$1,Datos!$F:$F,$D$1,Datos!$B:$B,$A4,Datos!$C:$C,C$2)</f>
        <v>5</v>
      </c>
      <c r="D4">
        <f>SUMIFS(Datos!$H:$H,Datos!$E:$E,$B$1,Datos!$F:$F,$D$1,Datos!$B:$B,$A4,Datos!$C:$C,D$2)</f>
        <v>5</v>
      </c>
    </row>
    <row r="5" spans="1:4" x14ac:dyDescent="0.3">
      <c r="A5">
        <v>16</v>
      </c>
      <c r="B5">
        <f>SUMIFS(Datos!$H:$H,Datos!$E:$E,$B$1,Datos!$F:$F,$D$1,Datos!$B:$B,$A5,Datos!$C:$C,B$2)</f>
        <v>5</v>
      </c>
      <c r="C5">
        <f>SUMIFS(Datos!$H:$H,Datos!$E:$E,$B$1,Datos!$F:$F,$D$1,Datos!$B:$B,$A5,Datos!$C:$C,C$2)</f>
        <v>5</v>
      </c>
      <c r="D5">
        <f>SUMIFS(Datos!$H:$H,Datos!$E:$E,$B$1,Datos!$F:$F,$D$1,Datos!$B:$B,$A5,Datos!$C:$C,D$2)</f>
        <v>5</v>
      </c>
    </row>
    <row r="6" spans="1:4" ht="18" x14ac:dyDescent="0.3">
      <c r="B6" s="3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1983D-730C-4BA5-9922-1E0CA5499351}">
  <dimension ref="A1:D5"/>
  <sheetViews>
    <sheetView workbookViewId="0">
      <selection sqref="A1:D5"/>
    </sheetView>
  </sheetViews>
  <sheetFormatPr baseColWidth="10" defaultRowHeight="14.4" x14ac:dyDescent="0.3"/>
  <sheetData>
    <row r="1" spans="1:4" x14ac:dyDescent="0.3">
      <c r="A1" t="s">
        <v>36</v>
      </c>
      <c r="B1">
        <v>16</v>
      </c>
      <c r="C1" t="s">
        <v>37</v>
      </c>
      <c r="D1">
        <v>256</v>
      </c>
    </row>
    <row r="2" spans="1:4" x14ac:dyDescent="0.3">
      <c r="B2" t="s">
        <v>5</v>
      </c>
      <c r="C2" t="s">
        <v>7</v>
      </c>
      <c r="D2" t="s">
        <v>9</v>
      </c>
    </row>
    <row r="3" spans="1:4" x14ac:dyDescent="0.3">
      <c r="A3">
        <v>4</v>
      </c>
      <c r="B3">
        <f>SUMIFS(Datos!$H:$H,Datos!$E:$E,$B$1,Datos!$F:$F,$D$1,Datos!$B:$B,$A3,Datos!$C:$C,B$2)</f>
        <v>2</v>
      </c>
      <c r="C3">
        <f>SUMIFS(Datos!$H:$H,Datos!$E:$E,$B$1,Datos!$F:$F,$D$1,Datos!$B:$B,$A3,Datos!$C:$C,C$2)</f>
        <v>2</v>
      </c>
      <c r="D3">
        <f>SUMIFS(Datos!$H:$H,Datos!$E:$E,$B$1,Datos!$F:$F,$D$1,Datos!$B:$B,$A3,Datos!$C:$C,D$2)</f>
        <v>2</v>
      </c>
    </row>
    <row r="4" spans="1:4" x14ac:dyDescent="0.3">
      <c r="A4">
        <v>8</v>
      </c>
      <c r="B4">
        <f>SUMIFS(Datos!$H:$H,Datos!$E:$E,$B$1,Datos!$F:$F,$D$1,Datos!$B:$B,$A4,Datos!$C:$C,B$2)</f>
        <v>2</v>
      </c>
      <c r="C4">
        <f>SUMIFS(Datos!$H:$H,Datos!$E:$E,$B$1,Datos!$F:$F,$D$1,Datos!$B:$B,$A4,Datos!$C:$C,C$2)</f>
        <v>2</v>
      </c>
      <c r="D4">
        <f>SUMIFS(Datos!$H:$H,Datos!$E:$E,$B$1,Datos!$F:$F,$D$1,Datos!$B:$B,$A4,Datos!$C:$C,D$2)</f>
        <v>2</v>
      </c>
    </row>
    <row r="5" spans="1:4" x14ac:dyDescent="0.3">
      <c r="A5">
        <v>16</v>
      </c>
      <c r="B5">
        <f>SUMIFS(Datos!$H:$H,Datos!$E:$E,$B$1,Datos!$F:$F,$D$1,Datos!$B:$B,$A5,Datos!$C:$C,B$2)</f>
        <v>2</v>
      </c>
      <c r="C5">
        <f>SUMIFS(Datos!$H:$H,Datos!$E:$E,$B$1,Datos!$F:$F,$D$1,Datos!$B:$B,$A5,Datos!$C:$C,C$2)</f>
        <v>2</v>
      </c>
      <c r="D5">
        <f>SUMIFS(Datos!$H:$H,Datos!$E:$E,$B$1,Datos!$F:$F,$D$1,Datos!$B:$B,$A5,Datos!$C:$C,D$2)</f>
        <v>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C2A85-B266-4C65-9881-ADBC68A552A6}">
  <dimension ref="A1:D5"/>
  <sheetViews>
    <sheetView workbookViewId="0">
      <selection sqref="A1:D5"/>
    </sheetView>
  </sheetViews>
  <sheetFormatPr baseColWidth="10" defaultRowHeight="14.4" x14ac:dyDescent="0.3"/>
  <sheetData>
    <row r="1" spans="1:4" x14ac:dyDescent="0.3">
      <c r="A1" t="s">
        <v>36</v>
      </c>
      <c r="B1">
        <v>16</v>
      </c>
      <c r="C1" t="s">
        <v>37</v>
      </c>
      <c r="D1">
        <v>1024</v>
      </c>
    </row>
    <row r="2" spans="1:4" x14ac:dyDescent="0.3">
      <c r="B2" t="s">
        <v>5</v>
      </c>
      <c r="C2" t="s">
        <v>7</v>
      </c>
      <c r="D2" t="s">
        <v>9</v>
      </c>
    </row>
    <row r="3" spans="1:4" x14ac:dyDescent="0.3">
      <c r="A3">
        <v>4</v>
      </c>
      <c r="B3">
        <f>SUMIFS(Datos!$H:$H,Datos!$E:$E,$B$1,Datos!$F:$F,$D$1,Datos!$B:$B,$A3,Datos!$C:$C,B$2)</f>
        <v>1</v>
      </c>
      <c r="C3">
        <f>SUMIFS(Datos!$H:$H,Datos!$E:$E,$B$1,Datos!$F:$F,$D$1,Datos!$B:$B,$A3,Datos!$C:$C,C$2)</f>
        <v>1</v>
      </c>
      <c r="D3">
        <f>SUMIFS(Datos!$H:$H,Datos!$E:$E,$B$1,Datos!$F:$F,$D$1,Datos!$B:$B,$A3,Datos!$C:$C,D$2)</f>
        <v>1</v>
      </c>
    </row>
    <row r="4" spans="1:4" x14ac:dyDescent="0.3">
      <c r="A4">
        <v>8</v>
      </c>
      <c r="B4">
        <f>SUMIFS(Datos!$H:$H,Datos!$E:$E,$B$1,Datos!$F:$F,$D$1,Datos!$B:$B,$A4,Datos!$C:$C,B$2)</f>
        <v>1</v>
      </c>
      <c r="C4">
        <f>SUMIFS(Datos!$H:$H,Datos!$E:$E,$B$1,Datos!$F:$F,$D$1,Datos!$B:$B,$A4,Datos!$C:$C,C$2)</f>
        <v>1</v>
      </c>
      <c r="D4">
        <f>SUMIFS(Datos!$H:$H,Datos!$E:$E,$B$1,Datos!$F:$F,$D$1,Datos!$B:$B,$A4,Datos!$C:$C,D$2)</f>
        <v>1</v>
      </c>
    </row>
    <row r="5" spans="1:4" x14ac:dyDescent="0.3">
      <c r="A5">
        <v>16</v>
      </c>
      <c r="B5">
        <f>SUMIFS(Datos!$H:$H,Datos!$E:$E,$B$1,Datos!$F:$F,$D$1,Datos!$B:$B,$A5,Datos!$C:$C,B$2)</f>
        <v>1</v>
      </c>
      <c r="C5">
        <f>SUMIFS(Datos!$H:$H,Datos!$E:$E,$B$1,Datos!$F:$F,$D$1,Datos!$B:$B,$A5,Datos!$C:$C,C$2)</f>
        <v>1</v>
      </c>
      <c r="D5">
        <f>SUMIFS(Datos!$H:$H,Datos!$E:$E,$B$1,Datos!$F:$F,$D$1,Datos!$B:$B,$A5,Datos!$C:$C,D$2)</f>
        <v>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55C9C-D1BE-4E3C-A9D7-4BE4132EEEE9}">
  <dimension ref="A1:D5"/>
  <sheetViews>
    <sheetView workbookViewId="0">
      <selection activeCell="C19" sqref="C19"/>
    </sheetView>
  </sheetViews>
  <sheetFormatPr baseColWidth="10" defaultRowHeight="14.4" x14ac:dyDescent="0.3"/>
  <sheetData>
    <row r="1" spans="1:4" x14ac:dyDescent="0.3">
      <c r="A1" t="s">
        <v>36</v>
      </c>
      <c r="B1">
        <v>128</v>
      </c>
      <c r="C1" t="s">
        <v>37</v>
      </c>
      <c r="D1">
        <v>64</v>
      </c>
    </row>
    <row r="2" spans="1:4" x14ac:dyDescent="0.3">
      <c r="B2" t="s">
        <v>5</v>
      </c>
      <c r="C2" t="s">
        <v>7</v>
      </c>
      <c r="D2" t="s">
        <v>9</v>
      </c>
    </row>
    <row r="3" spans="1:4" x14ac:dyDescent="0.3">
      <c r="A3">
        <v>4</v>
      </c>
      <c r="B3">
        <f>SUMIFS(Datos!$H:$H,Datos!$E:$E,$B$1,Datos!$F:$F,$D$1,Datos!$B:$B,$A3,Datos!$C:$C,B$2)</f>
        <v>20864</v>
      </c>
      <c r="C3">
        <f>SUMIFS(Datos!$H:$H,Datos!$E:$E,$B$1,Datos!$F:$F,$D$1,Datos!$B:$B,$A3,Datos!$C:$C,C$2)</f>
        <v>17152</v>
      </c>
      <c r="D3">
        <f>SUMIFS(Datos!$H:$H,Datos!$E:$E,$B$1,Datos!$F:$F,$D$1,Datos!$B:$B,$A3,Datos!$C:$C,D$2)</f>
        <v>17152</v>
      </c>
    </row>
    <row r="4" spans="1:4" x14ac:dyDescent="0.3">
      <c r="A4">
        <v>8</v>
      </c>
      <c r="B4">
        <f>SUMIFS(Datos!$H:$H,Datos!$E:$E,$B$1,Datos!$F:$F,$D$1,Datos!$B:$B,$A4,Datos!$C:$C,B$2)</f>
        <v>18752</v>
      </c>
      <c r="C4">
        <f>SUMIFS(Datos!$H:$H,Datos!$E:$E,$B$1,Datos!$F:$F,$D$1,Datos!$B:$B,$A4,Datos!$C:$C,C$2)</f>
        <v>16897</v>
      </c>
      <c r="D4">
        <f>SUMIFS(Datos!$H:$H,Datos!$E:$E,$B$1,Datos!$F:$F,$D$1,Datos!$B:$B,$A4,Datos!$C:$C,D$2)</f>
        <v>16897</v>
      </c>
    </row>
    <row r="5" spans="1:4" x14ac:dyDescent="0.3">
      <c r="A5">
        <v>16</v>
      </c>
      <c r="B5">
        <f>SUMIFS(Datos!$H:$H,Datos!$E:$E,$B$1,Datos!$F:$F,$D$1,Datos!$B:$B,$A5,Datos!$C:$C,B$2)</f>
        <v>17696</v>
      </c>
      <c r="C5">
        <f>SUMIFS(Datos!$H:$H,Datos!$E:$E,$B$1,Datos!$F:$F,$D$1,Datos!$B:$B,$A5,Datos!$C:$C,C$2)</f>
        <v>16897</v>
      </c>
      <c r="D5">
        <f>SUMIFS(Datos!$H:$H,Datos!$E:$E,$B$1,Datos!$F:$F,$D$1,Datos!$B:$B,$A5,Datos!$C:$C,D$2)</f>
        <v>16897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D56A8-4B7D-4F3F-83CB-D85E5CA90157}">
  <dimension ref="A1:D5"/>
  <sheetViews>
    <sheetView workbookViewId="0">
      <selection sqref="A1:D5"/>
    </sheetView>
  </sheetViews>
  <sheetFormatPr baseColWidth="10" defaultRowHeight="14.4" x14ac:dyDescent="0.3"/>
  <sheetData>
    <row r="1" spans="1:4" x14ac:dyDescent="0.3">
      <c r="A1" t="s">
        <v>36</v>
      </c>
      <c r="B1">
        <v>128</v>
      </c>
      <c r="C1" t="s">
        <v>37</v>
      </c>
      <c r="D1">
        <v>256</v>
      </c>
    </row>
    <row r="2" spans="1:4" x14ac:dyDescent="0.3">
      <c r="B2" t="s">
        <v>5</v>
      </c>
      <c r="C2" t="s">
        <v>7</v>
      </c>
      <c r="D2" t="s">
        <v>9</v>
      </c>
    </row>
    <row r="3" spans="1:4" x14ac:dyDescent="0.3">
      <c r="A3">
        <v>4</v>
      </c>
      <c r="B3">
        <f>SUMIFS(Datos!$H:$H,Datos!$E:$E,$B$1,Datos!$F:$F,$D$1,Datos!$B:$B,$A3,Datos!$C:$C,B$2)</f>
        <v>10320</v>
      </c>
      <c r="C3">
        <f>SUMIFS(Datos!$H:$H,Datos!$E:$E,$B$1,Datos!$F:$F,$D$1,Datos!$B:$B,$A3,Datos!$C:$C,C$2)</f>
        <v>8257</v>
      </c>
      <c r="D3">
        <f>SUMIFS(Datos!$H:$H,Datos!$E:$E,$B$1,Datos!$F:$F,$D$1,Datos!$B:$B,$A3,Datos!$C:$C,D$2)</f>
        <v>8257</v>
      </c>
    </row>
    <row r="4" spans="1:4" x14ac:dyDescent="0.3">
      <c r="A4">
        <v>8</v>
      </c>
      <c r="B4">
        <f>SUMIFS(Datos!$H:$H,Datos!$E:$E,$B$1,Datos!$F:$F,$D$1,Datos!$B:$B,$A4,Datos!$C:$C,B$2)</f>
        <v>9288</v>
      </c>
      <c r="C4">
        <f>SUMIFS(Datos!$H:$H,Datos!$E:$E,$B$1,Datos!$F:$F,$D$1,Datos!$B:$B,$A4,Datos!$C:$C,C$2)</f>
        <v>8257</v>
      </c>
      <c r="D4">
        <f>SUMIFS(Datos!$H:$H,Datos!$E:$E,$B$1,Datos!$F:$F,$D$1,Datos!$B:$B,$A4,Datos!$C:$C,D$2)</f>
        <v>8257</v>
      </c>
    </row>
    <row r="5" spans="1:4" x14ac:dyDescent="0.3">
      <c r="A5">
        <v>16</v>
      </c>
      <c r="B5">
        <f>SUMIFS(Datos!$H:$H,Datos!$E:$E,$B$1,Datos!$F:$F,$D$1,Datos!$B:$B,$A5,Datos!$C:$C,B$2)</f>
        <v>8772</v>
      </c>
      <c r="C5">
        <f>SUMIFS(Datos!$H:$H,Datos!$E:$E,$B$1,Datos!$F:$F,$D$1,Datos!$B:$B,$A5,Datos!$C:$C,C$2)</f>
        <v>8257</v>
      </c>
      <c r="D5">
        <f>SUMIFS(Datos!$H:$H,Datos!$E:$E,$B$1,Datos!$F:$F,$D$1,Datos!$B:$B,$A5,Datos!$C:$C,D$2)</f>
        <v>8257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3BB0E-A2E4-4612-9CA9-E18FE4E597CD}">
  <dimension ref="A1:D5"/>
  <sheetViews>
    <sheetView workbookViewId="0">
      <selection activeCell="I24" sqref="I24"/>
    </sheetView>
  </sheetViews>
  <sheetFormatPr baseColWidth="10" defaultRowHeight="14.4" x14ac:dyDescent="0.3"/>
  <sheetData>
    <row r="1" spans="1:4" x14ac:dyDescent="0.3">
      <c r="A1" t="s">
        <v>36</v>
      </c>
      <c r="B1">
        <v>128</v>
      </c>
      <c r="C1" t="s">
        <v>37</v>
      </c>
      <c r="D1">
        <v>1024</v>
      </c>
    </row>
    <row r="2" spans="1:4" x14ac:dyDescent="0.3">
      <c r="B2" t="s">
        <v>5</v>
      </c>
      <c r="C2" t="s">
        <v>7</v>
      </c>
      <c r="D2" t="s">
        <v>9</v>
      </c>
    </row>
    <row r="3" spans="1:4" x14ac:dyDescent="0.3">
      <c r="A3">
        <v>4</v>
      </c>
      <c r="B3">
        <f>SUMIFS(Datos!$H:$H,Datos!$E:$E,$B$1,Datos!$F:$F,$D$1,Datos!$B:$B,$A3,Datos!$C:$C,B$2)</f>
        <v>2580</v>
      </c>
      <c r="C3">
        <f>SUMIFS(Datos!$H:$H,Datos!$E:$E,$B$1,Datos!$F:$F,$D$1,Datos!$B:$B,$A3,Datos!$C:$C,C$2)</f>
        <v>2065</v>
      </c>
      <c r="D3">
        <f>SUMIFS(Datos!$H:$H,Datos!$E:$E,$B$1,Datos!$F:$F,$D$1,Datos!$B:$B,$A3,Datos!$C:$C,D$2)</f>
        <v>2065</v>
      </c>
    </row>
    <row r="4" spans="1:4" x14ac:dyDescent="0.3">
      <c r="A4">
        <v>8</v>
      </c>
      <c r="B4">
        <f>SUMIFS(Datos!$H:$H,Datos!$E:$E,$B$1,Datos!$F:$F,$D$1,Datos!$B:$B,$A4,Datos!$C:$C,B$2)</f>
        <v>2322</v>
      </c>
      <c r="C4">
        <f>SUMIFS(Datos!$H:$H,Datos!$E:$E,$B$1,Datos!$F:$F,$D$1,Datos!$B:$B,$A4,Datos!$C:$C,C$2)</f>
        <v>2065</v>
      </c>
      <c r="D4">
        <f>SUMIFS(Datos!$H:$H,Datos!$E:$E,$B$1,Datos!$F:$F,$D$1,Datos!$B:$B,$A4,Datos!$C:$C,D$2)</f>
        <v>2065</v>
      </c>
    </row>
    <row r="5" spans="1:4" x14ac:dyDescent="0.3">
      <c r="A5">
        <v>16</v>
      </c>
      <c r="B5">
        <f>SUMIFS(Datos!$H:$H,Datos!$E:$E,$B$1,Datos!$F:$F,$D$1,Datos!$B:$B,$A5,Datos!$C:$C,B$2)</f>
        <v>2193</v>
      </c>
      <c r="C5">
        <f>SUMIFS(Datos!$H:$H,Datos!$E:$E,$B$1,Datos!$F:$F,$D$1,Datos!$B:$B,$A5,Datos!$C:$C,C$2)</f>
        <v>2065</v>
      </c>
      <c r="D5">
        <f>SUMIFS(Datos!$H:$H,Datos!$E:$E,$B$1,Datos!$F:$F,$D$1,Datos!$B:$B,$A5,Datos!$C:$C,D$2)</f>
        <v>2065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Datos</vt:lpstr>
      <vt:lpstr>8_64</vt:lpstr>
      <vt:lpstr>8_256</vt:lpstr>
      <vt:lpstr>8_1024</vt:lpstr>
      <vt:lpstr>16_64</vt:lpstr>
      <vt:lpstr>16_256</vt:lpstr>
      <vt:lpstr>16_1024</vt:lpstr>
      <vt:lpstr>128_64</vt:lpstr>
      <vt:lpstr>128_256</vt:lpstr>
      <vt:lpstr>128_1024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Many-002</dc:creator>
  <cp:lastModifiedBy>Juan Manuel Arias Perez</cp:lastModifiedBy>
  <dcterms:created xsi:type="dcterms:W3CDTF">2026-10-04T18:25:56Z</dcterms:created>
  <dcterms:modified xsi:type="dcterms:W3CDTF">2026-10-04T21:22:42Z</dcterms:modified>
</cp:coreProperties>
</file>